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eenBadampudi\Downloads\"/>
    </mc:Choice>
  </mc:AlternateContent>
  <xr:revisionPtr revIDLastSave="0" documentId="13_ncr:1_{DD00F68B-56CF-4249-821E-DAEEDD39C610}" xr6:coauthVersionLast="47" xr6:coauthVersionMax="47" xr10:uidLastSave="{00000000-0000-0000-0000-000000000000}"/>
  <bookViews>
    <workbookView xWindow="-108" yWindow="-108" windowWidth="23256" windowHeight="13896" xr2:uid="{02901783-EB00-4B51-9F6A-4C17BD5EEED5}"/>
  </bookViews>
  <sheets>
    <sheet name="Store Data" sheetId="3" r:id="rId1"/>
    <sheet name="Transactional Data" sheetId="2" r:id="rId2"/>
    <sheet name="Employee Shifts" sheetId="1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</calcChain>
</file>

<file path=xl/sharedStrings.xml><?xml version="1.0" encoding="utf-8"?>
<sst xmlns="http://schemas.openxmlformats.org/spreadsheetml/2006/main" count="170" uniqueCount="119">
  <si>
    <t>Transaction_ID</t>
  </si>
  <si>
    <t>Customer_ID</t>
  </si>
  <si>
    <t>Store</t>
  </si>
  <si>
    <t>Age</t>
  </si>
  <si>
    <t>Gender</t>
  </si>
  <si>
    <t>Income</t>
  </si>
  <si>
    <t>Date</t>
  </si>
  <si>
    <t>Year</t>
  </si>
  <si>
    <t>Month</t>
  </si>
  <si>
    <t>Day</t>
  </si>
  <si>
    <t>Time</t>
  </si>
  <si>
    <t>Total_Amount</t>
  </si>
  <si>
    <t>Product_Category</t>
  </si>
  <si>
    <t>Store2</t>
  </si>
  <si>
    <t>Male</t>
  </si>
  <si>
    <t>Low</t>
  </si>
  <si>
    <t>2024-10-01</t>
  </si>
  <si>
    <t>October</t>
  </si>
  <si>
    <t>16:54:07</t>
  </si>
  <si>
    <t>Product6</t>
  </si>
  <si>
    <t>Product_Category2</t>
  </si>
  <si>
    <t>Bad</t>
  </si>
  <si>
    <t>Cash</t>
  </si>
  <si>
    <t>Store3</t>
  </si>
  <si>
    <t>Female</t>
  </si>
  <si>
    <t>Medium</t>
  </si>
  <si>
    <t>2024-03-24</t>
  </si>
  <si>
    <t>March</t>
  </si>
  <si>
    <t>10:12:56</t>
  </si>
  <si>
    <t>Product7</t>
  </si>
  <si>
    <t>Product_Category3</t>
  </si>
  <si>
    <t>2024-07-20</t>
  </si>
  <si>
    <t>July</t>
  </si>
  <si>
    <t>23:06:51</t>
  </si>
  <si>
    <t>Product72</t>
  </si>
  <si>
    <t>Product_Category5</t>
  </si>
  <si>
    <t>Average</t>
  </si>
  <si>
    <t>Credit Card</t>
  </si>
  <si>
    <t>2024-07-05</t>
  </si>
  <si>
    <t>18:49:35</t>
  </si>
  <si>
    <t>Product77</t>
  </si>
  <si>
    <t>Excellent</t>
  </si>
  <si>
    <t>PayPal</t>
  </si>
  <si>
    <t>2024-06-15</t>
  </si>
  <si>
    <t>June</t>
  </si>
  <si>
    <t>23:24:22</t>
  </si>
  <si>
    <t>Product32</t>
  </si>
  <si>
    <t>Product_Category4</t>
  </si>
  <si>
    <t>High</t>
  </si>
  <si>
    <t>2024-02-16</t>
  </si>
  <si>
    <t>February</t>
  </si>
  <si>
    <t>20:44:42</t>
  </si>
  <si>
    <t>Product74</t>
  </si>
  <si>
    <t>2024-03-17</t>
  </si>
  <si>
    <t>08:03:15</t>
  </si>
  <si>
    <t>Good</t>
  </si>
  <si>
    <t>Debit Card</t>
  </si>
  <si>
    <t>Employee_ID</t>
  </si>
  <si>
    <t>Name</t>
  </si>
  <si>
    <t>Assigned Role</t>
  </si>
  <si>
    <t>Month_Index</t>
  </si>
  <si>
    <t>Clock_In</t>
  </si>
  <si>
    <t>Clock_Out</t>
  </si>
  <si>
    <t>Shift_Hours</t>
  </si>
  <si>
    <t>Overall Employee Performance Rating</t>
  </si>
  <si>
    <t>Tenure</t>
  </si>
  <si>
    <t>Hire Date</t>
  </si>
  <si>
    <t>EMP10001</t>
  </si>
  <si>
    <t>Aaron Phillips</t>
  </si>
  <si>
    <t>Store1</t>
  </si>
  <si>
    <t>Checkout</t>
  </si>
  <si>
    <t>2024-01-01</t>
  </si>
  <si>
    <t>January 2024</t>
  </si>
  <si>
    <t>09:00</t>
  </si>
  <si>
    <t>20:58</t>
  </si>
  <si>
    <t>EMP10002</t>
  </si>
  <si>
    <t>Gregory Howard</t>
  </si>
  <si>
    <t>Support</t>
  </si>
  <si>
    <t>21:02</t>
  </si>
  <si>
    <t>EMP10003</t>
  </si>
  <si>
    <t>Mary Mendoza</t>
  </si>
  <si>
    <t>Maintenance</t>
  </si>
  <si>
    <t>21:01</t>
  </si>
  <si>
    <t>EMP10004</t>
  </si>
  <si>
    <t>Nancy Ruiz</t>
  </si>
  <si>
    <t>Security</t>
  </si>
  <si>
    <t>21:00</t>
  </si>
  <si>
    <t>EMP10005</t>
  </si>
  <si>
    <t>Kathleen Morris</t>
  </si>
  <si>
    <t>Management</t>
  </si>
  <si>
    <t>EMP10006</t>
  </si>
  <si>
    <t>Ronald Miller</t>
  </si>
  <si>
    <t>HR / Admin</t>
  </si>
  <si>
    <t>Store ID</t>
  </si>
  <si>
    <t>Full Address</t>
  </si>
  <si>
    <t>Geo Location ID</t>
  </si>
  <si>
    <t>S001</t>
  </si>
  <si>
    <t>Harrow Manorway, Abbey Wood, London SE2 9NU, United Kingdom</t>
  </si>
  <si>
    <t>F4VC+46 London, United Kingdom</t>
  </si>
  <si>
    <t>S002</t>
  </si>
  <si>
    <t>158a Cromwell Rd, London SW7 4EJ, United Kingdom</t>
  </si>
  <si>
    <t>FRW6+4H London, United Kingdom</t>
  </si>
  <si>
    <t>S003</t>
  </si>
  <si>
    <t>31-41 Liverpool Rd, London N1 0RW, United Kingdom</t>
  </si>
  <si>
    <t>GVMR+MW London, United Kingdom</t>
  </si>
  <si>
    <t>S004</t>
  </si>
  <si>
    <t>19 Selly Oak Shopping Park, Aston Webb Blvd, Birmingham B29 6SJ, United Kingdom</t>
  </si>
  <si>
    <t>C3V6+7F Birmingham, United Kingdom</t>
  </si>
  <si>
    <t>S005</t>
  </si>
  <si>
    <t>Freeth St, Oldbury B69 3DB, United Kingdom</t>
  </si>
  <si>
    <t>GX3J+MV Oldbury, United Kingdom</t>
  </si>
  <si>
    <r>
      <rPr>
        <b/>
        <sz val="11"/>
        <color theme="1"/>
        <rFont val="Aptos Narrow"/>
        <family val="2"/>
        <scheme val="minor"/>
      </rPr>
      <t>Transaction Data :</t>
    </r>
    <r>
      <rPr>
        <sz val="11"/>
        <color theme="1"/>
        <rFont val="Aptos Narrow"/>
        <family val="2"/>
        <scheme val="minor"/>
      </rPr>
      <t xml:space="preserve"> This table contains the daily transactions level data for each stores (5 stores) </t>
    </r>
  </si>
  <si>
    <t>Total_Quantity</t>
  </si>
  <si>
    <t>Unit Price</t>
  </si>
  <si>
    <t>Payment Method</t>
  </si>
  <si>
    <t>Products</t>
  </si>
  <si>
    <t>Customer Feedback</t>
  </si>
  <si>
    <r>
      <rPr>
        <b/>
        <sz val="11"/>
        <color theme="1"/>
        <rFont val="Aptos Narrow"/>
        <family val="2"/>
        <scheme val="minor"/>
      </rPr>
      <t>Employee Shifts Data :</t>
    </r>
    <r>
      <rPr>
        <sz val="11"/>
        <color theme="1"/>
        <rFont val="Aptos Narrow"/>
        <family val="2"/>
        <scheme val="minor"/>
      </rPr>
      <t xml:space="preserve"> This table contains the daily shifts of employess across 5 stores with the assigned role for the day </t>
    </r>
  </si>
  <si>
    <r>
      <rPr>
        <b/>
        <sz val="11"/>
        <color theme="1"/>
        <rFont val="Aptos Narrow"/>
        <family val="2"/>
        <scheme val="minor"/>
      </rPr>
      <t>Store Data :</t>
    </r>
    <r>
      <rPr>
        <sz val="11"/>
        <color theme="1"/>
        <rFont val="Aptos Narrow"/>
        <family val="2"/>
        <scheme val="minor"/>
      </rPr>
      <t xml:space="preserve"> This table contains the operating locations of different stores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</si>
</sst>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0"/>
      <color theme="1"/>
      <name val="Messina Sans"/>
      <family val="3"/>
    </font>
    <font>
      <sz val="10"/>
      <color theme="0"/>
      <name val="Messina Sans"/>
      <family val="3"/>
    </font>
    <font>
      <b/>
      <sz val="10"/>
      <color theme="0"/>
      <name val="Messina Sans"/>
      <family val="3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4" fillId="0" borderId="0" xfId="0" applyFont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20" fontId="4" fillId="0" borderId="0" xfId="0" applyNumberFormat="1" applyFont="1" applyBorder="1"/>
    <xf numFmtId="43" fontId="0" fillId="0" borderId="0" xfId="1" applyFont="1"/>
    <xf numFmtId="43" fontId="3" fillId="2" borderId="7" xfId="1" applyFont="1" applyFill="1" applyBorder="1" applyAlignment="1">
      <alignment horizontal="center" vertical="top"/>
    </xf>
    <xf numFmtId="43" fontId="0" fillId="0" borderId="0" xfId="1" applyFont="1" applyBorder="1"/>
    <xf numFmtId="43" fontId="0" fillId="0" borderId="4" xfId="1" applyFont="1" applyBorder="1"/>
    <xf numFmtId="0" fontId="6" fillId="2" borderId="12" xfId="0" applyFont="1" applyFill="1" applyBorder="1" applyAlignment="1">
      <alignment horizontal="center" vertical="top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20" fontId="4" fillId="0" borderId="16" xfId="0" applyNumberFormat="1" applyFont="1" applyBorder="1"/>
    <xf numFmtId="0" fontId="4" fillId="0" borderId="1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ccordionpartnersnyc-my.sharepoint.com/personal/surya_malireddy_accordion_com/Documents/Hackathon2025/Data/20251107_Employee_Data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1">
          <cell r="A1" t="str">
            <v>Employee_ID</v>
          </cell>
          <cell r="B1" t="str">
            <v>Name</v>
          </cell>
          <cell r="C1" t="str">
            <v>Store</v>
          </cell>
          <cell r="D1" t="str">
            <v>Department</v>
          </cell>
          <cell r="E1" t="str">
            <v>Hire_Date</v>
          </cell>
          <cell r="F1" t="str">
            <v>Tenure_Years</v>
          </cell>
          <cell r="G1" t="str">
            <v>Employment_Status</v>
          </cell>
          <cell r="H1" t="str">
            <v>Performance_Rating</v>
          </cell>
        </row>
        <row r="2">
          <cell r="A2" t="str">
            <v>EMP10001</v>
          </cell>
          <cell r="B2" t="str">
            <v>Aaron Phillips</v>
          </cell>
          <cell r="C2" t="str">
            <v>Store1</v>
          </cell>
          <cell r="D2" t="str">
            <v>Checkout</v>
          </cell>
          <cell r="E2" t="str">
            <v>2015-01-12</v>
          </cell>
          <cell r="F2">
            <v>10.8</v>
          </cell>
          <cell r="G2" t="str">
            <v>Active</v>
          </cell>
          <cell r="H2">
            <v>3</v>
          </cell>
        </row>
        <row r="3">
          <cell r="A3" t="str">
            <v>EMP10002</v>
          </cell>
          <cell r="B3" t="str">
            <v>Gregory Howard</v>
          </cell>
          <cell r="C3" t="str">
            <v>Store1</v>
          </cell>
          <cell r="D3" t="str">
            <v>Checkout</v>
          </cell>
          <cell r="E3" t="str">
            <v>2017-05-14</v>
          </cell>
          <cell r="F3">
            <v>8.5</v>
          </cell>
          <cell r="G3" t="str">
            <v>Active</v>
          </cell>
          <cell r="H3">
            <v>1</v>
          </cell>
        </row>
        <row r="4">
          <cell r="A4" t="str">
            <v>EMP10003</v>
          </cell>
          <cell r="B4" t="str">
            <v>Mary Mendoza</v>
          </cell>
          <cell r="C4" t="str">
            <v>Store1</v>
          </cell>
          <cell r="D4" t="str">
            <v>Checkout</v>
          </cell>
          <cell r="E4" t="str">
            <v>2011-07-13</v>
          </cell>
          <cell r="F4">
            <v>14.3</v>
          </cell>
          <cell r="G4" t="str">
            <v>Active</v>
          </cell>
          <cell r="H4">
            <v>3</v>
          </cell>
        </row>
        <row r="5">
          <cell r="A5" t="str">
            <v>EMP10004</v>
          </cell>
          <cell r="B5" t="str">
            <v>Nancy Ruiz</v>
          </cell>
          <cell r="C5" t="str">
            <v>Store1</v>
          </cell>
          <cell r="D5" t="str">
            <v>Checkout</v>
          </cell>
          <cell r="E5" t="str">
            <v>2019-10-03</v>
          </cell>
          <cell r="F5">
            <v>6.1</v>
          </cell>
          <cell r="G5" t="str">
            <v>Active</v>
          </cell>
          <cell r="H5">
            <v>3</v>
          </cell>
        </row>
        <row r="6">
          <cell r="A6" t="str">
            <v>EMP10005</v>
          </cell>
          <cell r="B6" t="str">
            <v>Kathleen Morris</v>
          </cell>
          <cell r="C6" t="str">
            <v>Store1</v>
          </cell>
          <cell r="D6" t="str">
            <v>Checkout</v>
          </cell>
          <cell r="E6" t="str">
            <v>2021-11-21</v>
          </cell>
          <cell r="F6">
            <v>4</v>
          </cell>
          <cell r="G6" t="str">
            <v>Active</v>
          </cell>
          <cell r="H6">
            <v>1</v>
          </cell>
        </row>
        <row r="7">
          <cell r="A7" t="str">
            <v>EMP10006</v>
          </cell>
          <cell r="B7" t="str">
            <v>Ronald Miller</v>
          </cell>
          <cell r="C7" t="str">
            <v>Store1</v>
          </cell>
          <cell r="D7" t="str">
            <v>Checkout</v>
          </cell>
          <cell r="E7" t="str">
            <v>2018-09-10</v>
          </cell>
          <cell r="F7">
            <v>7.2</v>
          </cell>
          <cell r="G7" t="str">
            <v>Active</v>
          </cell>
          <cell r="H7">
            <v>4</v>
          </cell>
        </row>
        <row r="8">
          <cell r="A8" t="str">
            <v>EMP10007</v>
          </cell>
          <cell r="B8" t="str">
            <v>William Hughes</v>
          </cell>
          <cell r="C8" t="str">
            <v>Store1</v>
          </cell>
          <cell r="D8" t="str">
            <v>Checkout</v>
          </cell>
          <cell r="E8" t="str">
            <v>2021-04-24</v>
          </cell>
          <cell r="F8">
            <v>4.5</v>
          </cell>
          <cell r="G8" t="str">
            <v>Active</v>
          </cell>
          <cell r="H8">
            <v>4</v>
          </cell>
        </row>
        <row r="9">
          <cell r="A9" t="str">
            <v>EMP10008</v>
          </cell>
          <cell r="B9" t="str">
            <v>Paul Cox</v>
          </cell>
          <cell r="C9" t="str">
            <v>Store1</v>
          </cell>
          <cell r="D9" t="str">
            <v>Checkout</v>
          </cell>
          <cell r="E9" t="str">
            <v>2016-12-11</v>
          </cell>
          <cell r="F9">
            <v>8.9</v>
          </cell>
          <cell r="G9" t="str">
            <v>Active</v>
          </cell>
          <cell r="H9">
            <v>3</v>
          </cell>
        </row>
        <row r="10">
          <cell r="A10" t="str">
            <v>EMP10009</v>
          </cell>
          <cell r="B10" t="str">
            <v>Patricia Turner</v>
          </cell>
          <cell r="C10" t="str">
            <v>Store1</v>
          </cell>
          <cell r="D10" t="str">
            <v>Checkout</v>
          </cell>
          <cell r="E10" t="str">
            <v>2024-12-01</v>
          </cell>
          <cell r="F10">
            <v>0.9</v>
          </cell>
          <cell r="G10" t="str">
            <v>Active</v>
          </cell>
          <cell r="H10">
            <v>5</v>
          </cell>
        </row>
        <row r="11">
          <cell r="A11" t="str">
            <v>EMP10010</v>
          </cell>
          <cell r="B11" t="str">
            <v>Jack Mitchell</v>
          </cell>
          <cell r="C11" t="str">
            <v>Store1</v>
          </cell>
          <cell r="D11" t="str">
            <v>Checkout</v>
          </cell>
          <cell r="E11" t="str">
            <v>2021-11-13</v>
          </cell>
          <cell r="F11">
            <v>4</v>
          </cell>
          <cell r="G11" t="str">
            <v>Active</v>
          </cell>
          <cell r="H11">
            <v>3</v>
          </cell>
        </row>
        <row r="12">
          <cell r="A12" t="str">
            <v>EMP10011</v>
          </cell>
          <cell r="B12" t="str">
            <v>Emma Brooks</v>
          </cell>
          <cell r="C12" t="str">
            <v>Store1</v>
          </cell>
          <cell r="D12" t="str">
            <v>Checkout</v>
          </cell>
          <cell r="E12" t="str">
            <v>2012-01-21</v>
          </cell>
          <cell r="F12">
            <v>13.8</v>
          </cell>
          <cell r="G12" t="str">
            <v>Active</v>
          </cell>
          <cell r="H12">
            <v>3</v>
          </cell>
        </row>
        <row r="13">
          <cell r="A13" t="str">
            <v>EMP10012</v>
          </cell>
          <cell r="B13" t="str">
            <v>Mark Anderson</v>
          </cell>
          <cell r="C13" t="str">
            <v>Store1</v>
          </cell>
          <cell r="D13" t="str">
            <v>Checkout</v>
          </cell>
          <cell r="E13" t="str">
            <v>2018-04-30</v>
          </cell>
          <cell r="F13">
            <v>7.5</v>
          </cell>
          <cell r="G13" t="str">
            <v>Active</v>
          </cell>
          <cell r="H13">
            <v>2</v>
          </cell>
        </row>
        <row r="14">
          <cell r="A14" t="str">
            <v>EMP10013</v>
          </cell>
          <cell r="B14" t="str">
            <v>Debra Morales</v>
          </cell>
          <cell r="C14" t="str">
            <v>Store1</v>
          </cell>
          <cell r="D14" t="str">
            <v>Checkout</v>
          </cell>
          <cell r="E14" t="str">
            <v>2012-12-31</v>
          </cell>
          <cell r="F14">
            <v>12.9</v>
          </cell>
          <cell r="G14" t="str">
            <v>Active</v>
          </cell>
          <cell r="H14">
            <v>2</v>
          </cell>
        </row>
        <row r="15">
          <cell r="A15" t="str">
            <v>EMP10014</v>
          </cell>
          <cell r="B15" t="str">
            <v>Aaron Green</v>
          </cell>
          <cell r="C15" t="str">
            <v>Store1</v>
          </cell>
          <cell r="D15" t="str">
            <v>Support</v>
          </cell>
          <cell r="E15" t="str">
            <v>2012-01-05</v>
          </cell>
          <cell r="F15">
            <v>13.8</v>
          </cell>
          <cell r="G15" t="str">
            <v>Active</v>
          </cell>
          <cell r="H15">
            <v>2</v>
          </cell>
        </row>
        <row r="16">
          <cell r="A16" t="str">
            <v>EMP10015</v>
          </cell>
          <cell r="B16" t="str">
            <v>Daniel Morris</v>
          </cell>
          <cell r="C16" t="str">
            <v>Store1</v>
          </cell>
          <cell r="D16" t="str">
            <v>Support</v>
          </cell>
          <cell r="E16" t="str">
            <v>2017-10-07</v>
          </cell>
          <cell r="F16">
            <v>8.1</v>
          </cell>
          <cell r="G16" t="str">
            <v>Active</v>
          </cell>
          <cell r="H16">
            <v>3</v>
          </cell>
        </row>
        <row r="17">
          <cell r="A17" t="str">
            <v>EMP10016</v>
          </cell>
          <cell r="B17" t="str">
            <v>Tyler Campbell</v>
          </cell>
          <cell r="C17" t="str">
            <v>Store1</v>
          </cell>
          <cell r="D17" t="str">
            <v>Support</v>
          </cell>
          <cell r="E17" t="str">
            <v>2023-12-26</v>
          </cell>
          <cell r="F17">
            <v>1.9</v>
          </cell>
          <cell r="G17" t="str">
            <v>Active</v>
          </cell>
          <cell r="H17">
            <v>3</v>
          </cell>
        </row>
        <row r="18">
          <cell r="A18" t="str">
            <v>EMP10017</v>
          </cell>
          <cell r="B18" t="str">
            <v>William Ward</v>
          </cell>
          <cell r="C18" t="str">
            <v>Store1</v>
          </cell>
          <cell r="D18" t="str">
            <v>Support</v>
          </cell>
          <cell r="E18" t="str">
            <v>2021-04-18</v>
          </cell>
          <cell r="F18">
            <v>4.5999999999999996</v>
          </cell>
          <cell r="G18" t="str">
            <v>Active</v>
          </cell>
          <cell r="H18">
            <v>4</v>
          </cell>
        </row>
        <row r="19">
          <cell r="A19" t="str">
            <v>EMP10018</v>
          </cell>
          <cell r="B19" t="str">
            <v>Stephanie Myers</v>
          </cell>
          <cell r="C19" t="str">
            <v>Store1</v>
          </cell>
          <cell r="D19" t="str">
            <v>Support</v>
          </cell>
          <cell r="E19" t="str">
            <v>2020-10-06</v>
          </cell>
          <cell r="F19">
            <v>5.0999999999999996</v>
          </cell>
          <cell r="G19" t="str">
            <v>Active</v>
          </cell>
          <cell r="H19">
            <v>3</v>
          </cell>
        </row>
        <row r="20">
          <cell r="A20" t="str">
            <v>EMP10019</v>
          </cell>
          <cell r="B20" t="str">
            <v>Ashley Peterson</v>
          </cell>
          <cell r="C20" t="str">
            <v>Store1</v>
          </cell>
          <cell r="D20" t="str">
            <v>Support</v>
          </cell>
          <cell r="E20" t="str">
            <v>2018-03-04</v>
          </cell>
          <cell r="F20">
            <v>7.7</v>
          </cell>
          <cell r="G20" t="str">
            <v>Active</v>
          </cell>
          <cell r="H20">
            <v>3</v>
          </cell>
        </row>
        <row r="21">
          <cell r="A21" t="str">
            <v>EMP10020</v>
          </cell>
          <cell r="B21" t="str">
            <v>Jennifer Ramirez</v>
          </cell>
          <cell r="C21" t="str">
            <v>Store1</v>
          </cell>
          <cell r="D21" t="str">
            <v>Support</v>
          </cell>
          <cell r="E21" t="str">
            <v>2019-12-08</v>
          </cell>
          <cell r="F21">
            <v>5.9</v>
          </cell>
          <cell r="G21" t="str">
            <v>Active</v>
          </cell>
          <cell r="H21">
            <v>4</v>
          </cell>
        </row>
        <row r="22">
          <cell r="A22" t="str">
            <v>EMP10021</v>
          </cell>
          <cell r="B22" t="str">
            <v>Catherine Ruiz</v>
          </cell>
          <cell r="C22" t="str">
            <v>Store1</v>
          </cell>
          <cell r="D22" t="str">
            <v>Support</v>
          </cell>
          <cell r="E22" t="str">
            <v>2021-10-13</v>
          </cell>
          <cell r="F22">
            <v>4.0999999999999996</v>
          </cell>
          <cell r="G22" t="str">
            <v>Active</v>
          </cell>
          <cell r="H22">
            <v>4</v>
          </cell>
        </row>
        <row r="23">
          <cell r="A23" t="str">
            <v>EMP10022</v>
          </cell>
          <cell r="B23" t="str">
            <v>John Cooper</v>
          </cell>
          <cell r="C23" t="str">
            <v>Store1</v>
          </cell>
          <cell r="D23" t="str">
            <v>Support</v>
          </cell>
          <cell r="E23" t="str">
            <v>2015-02-05</v>
          </cell>
          <cell r="F23">
            <v>10.8</v>
          </cell>
          <cell r="G23" t="str">
            <v>Active</v>
          </cell>
          <cell r="H23">
            <v>3</v>
          </cell>
        </row>
        <row r="24">
          <cell r="A24" t="str">
            <v>EMP10023</v>
          </cell>
          <cell r="B24" t="str">
            <v>Lisa Ward</v>
          </cell>
          <cell r="C24" t="str">
            <v>Store1</v>
          </cell>
          <cell r="D24" t="str">
            <v>Support</v>
          </cell>
          <cell r="E24" t="str">
            <v>2021-04-07</v>
          </cell>
          <cell r="F24">
            <v>4.5999999999999996</v>
          </cell>
          <cell r="G24" t="str">
            <v>Active</v>
          </cell>
          <cell r="H24">
            <v>3</v>
          </cell>
        </row>
        <row r="25">
          <cell r="A25" t="str">
            <v>EMP10024</v>
          </cell>
          <cell r="B25" t="str">
            <v>Laura Phillips</v>
          </cell>
          <cell r="C25" t="str">
            <v>Store1</v>
          </cell>
          <cell r="D25" t="str">
            <v>Support</v>
          </cell>
          <cell r="E25" t="str">
            <v>2020-11-17</v>
          </cell>
          <cell r="F25">
            <v>5</v>
          </cell>
          <cell r="G25" t="str">
            <v>Active</v>
          </cell>
          <cell r="H25">
            <v>1</v>
          </cell>
        </row>
        <row r="26">
          <cell r="A26" t="str">
            <v>EMP10025</v>
          </cell>
          <cell r="B26" t="str">
            <v>Mary Johnson</v>
          </cell>
          <cell r="C26" t="str">
            <v>Store1</v>
          </cell>
          <cell r="D26" t="str">
            <v>Support</v>
          </cell>
          <cell r="E26" t="str">
            <v>2015-11-06</v>
          </cell>
          <cell r="F26">
            <v>10</v>
          </cell>
          <cell r="G26" t="str">
            <v>Active</v>
          </cell>
          <cell r="H26">
            <v>3</v>
          </cell>
        </row>
        <row r="27">
          <cell r="A27" t="str">
            <v>EMP10026</v>
          </cell>
          <cell r="B27" t="str">
            <v>Rachel Young</v>
          </cell>
          <cell r="C27" t="str">
            <v>Store1</v>
          </cell>
          <cell r="D27" t="str">
            <v>Support</v>
          </cell>
          <cell r="E27" t="str">
            <v>2015-10-01</v>
          </cell>
          <cell r="F27">
            <v>10.1</v>
          </cell>
          <cell r="G27" t="str">
            <v>Active</v>
          </cell>
          <cell r="H27">
            <v>3</v>
          </cell>
        </row>
        <row r="28">
          <cell r="A28" t="str">
            <v>EMP10027</v>
          </cell>
          <cell r="B28" t="str">
            <v>Donna White</v>
          </cell>
          <cell r="C28" t="str">
            <v>Store1</v>
          </cell>
          <cell r="D28" t="str">
            <v>Support</v>
          </cell>
          <cell r="E28" t="str">
            <v>2020-01-28</v>
          </cell>
          <cell r="F28">
            <v>5.8</v>
          </cell>
          <cell r="G28" t="str">
            <v>Active</v>
          </cell>
          <cell r="H28">
            <v>4</v>
          </cell>
        </row>
        <row r="29">
          <cell r="A29" t="str">
            <v>EMP10028</v>
          </cell>
          <cell r="B29" t="str">
            <v>Larry Collins</v>
          </cell>
          <cell r="C29" t="str">
            <v>Store1</v>
          </cell>
          <cell r="D29" t="str">
            <v>Support</v>
          </cell>
          <cell r="E29" t="str">
            <v>2023-07-22</v>
          </cell>
          <cell r="F29">
            <v>2.2999999999999998</v>
          </cell>
          <cell r="G29" t="str">
            <v>Active</v>
          </cell>
          <cell r="H29">
            <v>3</v>
          </cell>
        </row>
        <row r="30">
          <cell r="A30" t="str">
            <v>EMP10029</v>
          </cell>
          <cell r="B30" t="str">
            <v>Rachel Gutierrez</v>
          </cell>
          <cell r="C30" t="str">
            <v>Store1</v>
          </cell>
          <cell r="D30" t="str">
            <v>Support</v>
          </cell>
          <cell r="E30" t="str">
            <v>2020-08-11</v>
          </cell>
          <cell r="F30">
            <v>5.2</v>
          </cell>
          <cell r="G30" t="str">
            <v>Active</v>
          </cell>
          <cell r="H30">
            <v>4</v>
          </cell>
        </row>
        <row r="31">
          <cell r="A31" t="str">
            <v>EMP10030</v>
          </cell>
          <cell r="B31" t="str">
            <v>Joshua Brooks</v>
          </cell>
          <cell r="C31" t="str">
            <v>Store1</v>
          </cell>
          <cell r="D31" t="str">
            <v>Support</v>
          </cell>
          <cell r="E31" t="str">
            <v>2014-03-29</v>
          </cell>
          <cell r="F31">
            <v>11.6</v>
          </cell>
          <cell r="G31" t="str">
            <v>Active</v>
          </cell>
          <cell r="H31">
            <v>3</v>
          </cell>
        </row>
        <row r="32">
          <cell r="A32" t="str">
            <v>EMP10031</v>
          </cell>
          <cell r="B32" t="str">
            <v>Jessica Hughes</v>
          </cell>
          <cell r="C32" t="str">
            <v>Store1</v>
          </cell>
          <cell r="D32" t="str">
            <v>Support</v>
          </cell>
          <cell r="E32" t="str">
            <v>2011-09-26</v>
          </cell>
          <cell r="F32">
            <v>14.1</v>
          </cell>
          <cell r="G32" t="str">
            <v>Active</v>
          </cell>
          <cell r="H32">
            <v>2</v>
          </cell>
        </row>
        <row r="33">
          <cell r="A33" t="str">
            <v>EMP10032</v>
          </cell>
          <cell r="B33" t="str">
            <v>Elizabeth Morgan</v>
          </cell>
          <cell r="C33" t="str">
            <v>Store1</v>
          </cell>
          <cell r="D33" t="str">
            <v>Support</v>
          </cell>
          <cell r="E33" t="str">
            <v>2019-09-24</v>
          </cell>
          <cell r="F33">
            <v>6.1</v>
          </cell>
          <cell r="G33" t="str">
            <v>Active</v>
          </cell>
          <cell r="H33">
            <v>4</v>
          </cell>
        </row>
        <row r="34">
          <cell r="A34" t="str">
            <v>EMP10033</v>
          </cell>
          <cell r="B34" t="str">
            <v>Emma Williams</v>
          </cell>
          <cell r="C34" t="str">
            <v>Store1</v>
          </cell>
          <cell r="D34" t="str">
            <v>Support</v>
          </cell>
          <cell r="E34" t="str">
            <v>2020-09-18</v>
          </cell>
          <cell r="F34">
            <v>5.0999999999999996</v>
          </cell>
          <cell r="G34" t="str">
            <v>Active</v>
          </cell>
          <cell r="H34">
            <v>2</v>
          </cell>
        </row>
        <row r="35">
          <cell r="A35" t="str">
            <v>EMP10034</v>
          </cell>
          <cell r="B35" t="str">
            <v>Anna Scott</v>
          </cell>
          <cell r="C35" t="str">
            <v>Store1</v>
          </cell>
          <cell r="D35" t="str">
            <v>Support</v>
          </cell>
          <cell r="E35" t="str">
            <v>2016-08-23</v>
          </cell>
          <cell r="F35">
            <v>9.1999999999999993</v>
          </cell>
          <cell r="G35" t="str">
            <v>Active</v>
          </cell>
          <cell r="H35">
            <v>4</v>
          </cell>
        </row>
        <row r="36">
          <cell r="A36" t="str">
            <v>EMP10035</v>
          </cell>
          <cell r="B36" t="str">
            <v>Frank Moore</v>
          </cell>
          <cell r="C36" t="str">
            <v>Store1</v>
          </cell>
          <cell r="D36" t="str">
            <v>Support</v>
          </cell>
          <cell r="E36" t="str">
            <v>2017-07-03</v>
          </cell>
          <cell r="F36">
            <v>8.3000000000000007</v>
          </cell>
          <cell r="G36" t="str">
            <v>Active</v>
          </cell>
          <cell r="H36">
            <v>5</v>
          </cell>
        </row>
        <row r="37">
          <cell r="A37" t="str">
            <v>EMP10036</v>
          </cell>
          <cell r="B37" t="str">
            <v>Maria Allen</v>
          </cell>
          <cell r="C37" t="str">
            <v>Store1</v>
          </cell>
          <cell r="D37" t="str">
            <v>Support</v>
          </cell>
          <cell r="E37" t="str">
            <v>2011-11-30</v>
          </cell>
          <cell r="F37">
            <v>13.9</v>
          </cell>
          <cell r="G37" t="str">
            <v>Active</v>
          </cell>
          <cell r="H37">
            <v>4</v>
          </cell>
        </row>
        <row r="38">
          <cell r="A38" t="str">
            <v>EMP10037</v>
          </cell>
          <cell r="B38" t="str">
            <v>Michael Gutierrez</v>
          </cell>
          <cell r="C38" t="str">
            <v>Store1</v>
          </cell>
          <cell r="D38" t="str">
            <v>Support</v>
          </cell>
          <cell r="E38" t="str">
            <v>2012-11-20</v>
          </cell>
          <cell r="F38">
            <v>13</v>
          </cell>
          <cell r="G38" t="str">
            <v>Active</v>
          </cell>
          <cell r="H38">
            <v>4</v>
          </cell>
        </row>
        <row r="39">
          <cell r="A39" t="str">
            <v>EMP10038</v>
          </cell>
          <cell r="B39" t="str">
            <v>Nancy Robinson</v>
          </cell>
          <cell r="C39" t="str">
            <v>Store1</v>
          </cell>
          <cell r="D39" t="str">
            <v>Maintenance</v>
          </cell>
          <cell r="E39" t="str">
            <v>2018-07-22</v>
          </cell>
          <cell r="F39">
            <v>7.3</v>
          </cell>
          <cell r="G39" t="str">
            <v>Active</v>
          </cell>
          <cell r="H39">
            <v>3</v>
          </cell>
        </row>
        <row r="40">
          <cell r="A40" t="str">
            <v>EMP10039</v>
          </cell>
          <cell r="B40" t="str">
            <v>Christopher Robinson</v>
          </cell>
          <cell r="C40" t="str">
            <v>Store1</v>
          </cell>
          <cell r="D40" t="str">
            <v>Maintenance</v>
          </cell>
          <cell r="E40" t="str">
            <v>2012-11-27</v>
          </cell>
          <cell r="F40">
            <v>12.9</v>
          </cell>
          <cell r="G40" t="str">
            <v>Active</v>
          </cell>
          <cell r="H40">
            <v>3</v>
          </cell>
        </row>
        <row r="41">
          <cell r="A41" t="str">
            <v>EMP10040</v>
          </cell>
          <cell r="B41" t="str">
            <v>Patricia Wright</v>
          </cell>
          <cell r="C41" t="str">
            <v>Store1</v>
          </cell>
          <cell r="D41" t="str">
            <v>Maintenance</v>
          </cell>
          <cell r="E41" t="str">
            <v>2021-12-15</v>
          </cell>
          <cell r="F41">
            <v>3.9</v>
          </cell>
          <cell r="G41" t="str">
            <v>Active</v>
          </cell>
          <cell r="H41">
            <v>3</v>
          </cell>
        </row>
        <row r="42">
          <cell r="A42" t="str">
            <v>EMP10041</v>
          </cell>
          <cell r="B42" t="str">
            <v>Jennifer Torres</v>
          </cell>
          <cell r="C42" t="str">
            <v>Store1</v>
          </cell>
          <cell r="D42" t="str">
            <v>Maintenance</v>
          </cell>
          <cell r="E42" t="str">
            <v>2013-08-26</v>
          </cell>
          <cell r="F42">
            <v>12.2</v>
          </cell>
          <cell r="G42" t="str">
            <v>Active</v>
          </cell>
          <cell r="H42">
            <v>5</v>
          </cell>
        </row>
        <row r="43">
          <cell r="A43" t="str">
            <v>EMP10042</v>
          </cell>
          <cell r="B43" t="str">
            <v>Gary James</v>
          </cell>
          <cell r="C43" t="str">
            <v>Store1</v>
          </cell>
          <cell r="D43" t="str">
            <v>Maintenance</v>
          </cell>
          <cell r="E43" t="str">
            <v>2016-01-25</v>
          </cell>
          <cell r="F43">
            <v>9.8000000000000007</v>
          </cell>
          <cell r="G43" t="str">
            <v>Active</v>
          </cell>
          <cell r="H43">
            <v>4</v>
          </cell>
        </row>
        <row r="44">
          <cell r="A44" t="str">
            <v>EMP10043</v>
          </cell>
          <cell r="B44" t="str">
            <v>Jack Turner</v>
          </cell>
          <cell r="C44" t="str">
            <v>Store1</v>
          </cell>
          <cell r="D44" t="str">
            <v>Maintenance</v>
          </cell>
          <cell r="E44" t="str">
            <v>2014-10-13</v>
          </cell>
          <cell r="F44">
            <v>11.1</v>
          </cell>
          <cell r="G44" t="str">
            <v>Active</v>
          </cell>
          <cell r="H44">
            <v>4</v>
          </cell>
        </row>
        <row r="45">
          <cell r="A45" t="str">
            <v>EMP10044</v>
          </cell>
          <cell r="B45" t="str">
            <v>Daniel Rogers</v>
          </cell>
          <cell r="C45" t="str">
            <v>Store1</v>
          </cell>
          <cell r="D45" t="str">
            <v>Maintenance</v>
          </cell>
          <cell r="E45" t="str">
            <v>2014-04-02</v>
          </cell>
          <cell r="F45">
            <v>11.6</v>
          </cell>
          <cell r="G45" t="str">
            <v>Active</v>
          </cell>
          <cell r="H45">
            <v>4</v>
          </cell>
        </row>
        <row r="46">
          <cell r="A46" t="str">
            <v>EMP10045</v>
          </cell>
          <cell r="B46" t="str">
            <v>Kevin Mitchell</v>
          </cell>
          <cell r="C46" t="str">
            <v>Store1</v>
          </cell>
          <cell r="D46" t="str">
            <v>Maintenance</v>
          </cell>
          <cell r="E46" t="str">
            <v>2023-11-21</v>
          </cell>
          <cell r="F46">
            <v>2</v>
          </cell>
          <cell r="G46" t="str">
            <v>Active</v>
          </cell>
          <cell r="H46">
            <v>4</v>
          </cell>
        </row>
        <row r="47">
          <cell r="A47" t="str">
            <v>EMP10046</v>
          </cell>
          <cell r="B47" t="str">
            <v>Richard Reyes</v>
          </cell>
          <cell r="C47" t="str">
            <v>Store1</v>
          </cell>
          <cell r="D47" t="str">
            <v>Maintenance</v>
          </cell>
          <cell r="E47" t="str">
            <v>2012-04-09</v>
          </cell>
          <cell r="F47">
            <v>13.6</v>
          </cell>
          <cell r="G47" t="str">
            <v>Active</v>
          </cell>
          <cell r="H47">
            <v>2</v>
          </cell>
        </row>
        <row r="48">
          <cell r="A48" t="str">
            <v>EMP10047</v>
          </cell>
          <cell r="B48" t="str">
            <v>Jessica Wilson</v>
          </cell>
          <cell r="C48" t="str">
            <v>Store1</v>
          </cell>
          <cell r="D48" t="str">
            <v>Maintenance</v>
          </cell>
          <cell r="E48" t="str">
            <v>2011-02-03</v>
          </cell>
          <cell r="F48">
            <v>14.8</v>
          </cell>
          <cell r="G48" t="str">
            <v>Active</v>
          </cell>
          <cell r="H48">
            <v>3</v>
          </cell>
        </row>
        <row r="49">
          <cell r="A49" t="str">
            <v>EMP10048</v>
          </cell>
          <cell r="B49" t="str">
            <v>Gary Bennett</v>
          </cell>
          <cell r="C49" t="str">
            <v>Store1</v>
          </cell>
          <cell r="D49" t="str">
            <v>Maintenance</v>
          </cell>
          <cell r="E49" t="str">
            <v>2016-06-06</v>
          </cell>
          <cell r="F49">
            <v>9.4</v>
          </cell>
          <cell r="G49" t="str">
            <v>Active</v>
          </cell>
          <cell r="H49">
            <v>4</v>
          </cell>
        </row>
        <row r="50">
          <cell r="A50" t="str">
            <v>EMP10049</v>
          </cell>
          <cell r="B50" t="str">
            <v>Christine Carter</v>
          </cell>
          <cell r="C50" t="str">
            <v>Store1</v>
          </cell>
          <cell r="D50" t="str">
            <v>Maintenance</v>
          </cell>
          <cell r="E50" t="str">
            <v>2011-03-13</v>
          </cell>
          <cell r="F50">
            <v>14.7</v>
          </cell>
          <cell r="G50" t="str">
            <v>Active</v>
          </cell>
          <cell r="H50">
            <v>3</v>
          </cell>
        </row>
        <row r="51">
          <cell r="A51" t="str">
            <v>EMP10050</v>
          </cell>
          <cell r="B51" t="str">
            <v>Linda Evans</v>
          </cell>
          <cell r="C51" t="str">
            <v>Store1</v>
          </cell>
          <cell r="D51" t="str">
            <v>Maintenance</v>
          </cell>
          <cell r="E51" t="str">
            <v>2011-01-23</v>
          </cell>
          <cell r="F51">
            <v>14.8</v>
          </cell>
          <cell r="G51" t="str">
            <v>Active</v>
          </cell>
          <cell r="H51">
            <v>2</v>
          </cell>
        </row>
        <row r="52">
          <cell r="A52" t="str">
            <v>EMP10051</v>
          </cell>
          <cell r="B52" t="str">
            <v>Carolyn Campbell</v>
          </cell>
          <cell r="C52" t="str">
            <v>Store1</v>
          </cell>
          <cell r="D52" t="str">
            <v>Maintenance</v>
          </cell>
          <cell r="E52" t="str">
            <v>2013-05-30</v>
          </cell>
          <cell r="F52">
            <v>12.4</v>
          </cell>
          <cell r="G52" t="str">
            <v>On Leave</v>
          </cell>
          <cell r="H52">
            <v>4</v>
          </cell>
        </row>
        <row r="53">
          <cell r="A53" t="str">
            <v>EMP10052</v>
          </cell>
          <cell r="B53" t="str">
            <v>Charles Taylor</v>
          </cell>
          <cell r="C53" t="str">
            <v>Store1</v>
          </cell>
          <cell r="D53" t="str">
            <v>Maintenance</v>
          </cell>
          <cell r="E53" t="str">
            <v>2011-03-09</v>
          </cell>
          <cell r="F53">
            <v>14.7</v>
          </cell>
          <cell r="G53" t="str">
            <v>Active</v>
          </cell>
          <cell r="H53">
            <v>1</v>
          </cell>
        </row>
        <row r="54">
          <cell r="A54" t="str">
            <v>EMP10053</v>
          </cell>
          <cell r="B54" t="str">
            <v>Kathleen Thompson</v>
          </cell>
          <cell r="C54" t="str">
            <v>Store1</v>
          </cell>
          <cell r="D54" t="str">
            <v>Maintenance</v>
          </cell>
          <cell r="E54" t="str">
            <v>2020-10-20</v>
          </cell>
          <cell r="F54">
            <v>5</v>
          </cell>
          <cell r="G54" t="str">
            <v>Active</v>
          </cell>
          <cell r="H54">
            <v>2</v>
          </cell>
        </row>
        <row r="55">
          <cell r="A55" t="str">
            <v>EMP10054</v>
          </cell>
          <cell r="B55" t="str">
            <v>Kimberly Myers</v>
          </cell>
          <cell r="C55" t="str">
            <v>Store1</v>
          </cell>
          <cell r="D55" t="str">
            <v>Security</v>
          </cell>
          <cell r="E55" t="str">
            <v>2012-10-23</v>
          </cell>
          <cell r="F55">
            <v>13</v>
          </cell>
          <cell r="G55" t="str">
            <v>Active</v>
          </cell>
          <cell r="H55">
            <v>4</v>
          </cell>
        </row>
        <row r="56">
          <cell r="A56" t="str">
            <v>EMP10055</v>
          </cell>
          <cell r="B56" t="str">
            <v>Jacob Murphy</v>
          </cell>
          <cell r="C56" t="str">
            <v>Store1</v>
          </cell>
          <cell r="D56" t="str">
            <v>Security</v>
          </cell>
          <cell r="E56" t="str">
            <v>2019-01-29</v>
          </cell>
          <cell r="F56">
            <v>6.8</v>
          </cell>
          <cell r="G56" t="str">
            <v>Active</v>
          </cell>
          <cell r="H56">
            <v>4</v>
          </cell>
        </row>
        <row r="57">
          <cell r="A57" t="str">
            <v>EMP10056</v>
          </cell>
          <cell r="B57" t="str">
            <v>Ronald Bennett</v>
          </cell>
          <cell r="C57" t="str">
            <v>Store1</v>
          </cell>
          <cell r="D57" t="str">
            <v>Security</v>
          </cell>
          <cell r="E57" t="str">
            <v>2011-02-26</v>
          </cell>
          <cell r="F57">
            <v>14.7</v>
          </cell>
          <cell r="G57" t="str">
            <v>Active</v>
          </cell>
          <cell r="H57">
            <v>3</v>
          </cell>
        </row>
        <row r="58">
          <cell r="A58" t="str">
            <v>EMP10057</v>
          </cell>
          <cell r="B58" t="str">
            <v>Kathleen Morgan</v>
          </cell>
          <cell r="C58" t="str">
            <v>Store1</v>
          </cell>
          <cell r="D58" t="str">
            <v>Security</v>
          </cell>
          <cell r="E58" t="str">
            <v>2018-07-28</v>
          </cell>
          <cell r="F58">
            <v>7.3</v>
          </cell>
          <cell r="G58" t="str">
            <v>Active</v>
          </cell>
          <cell r="H58">
            <v>3</v>
          </cell>
        </row>
        <row r="59">
          <cell r="A59" t="str">
            <v>EMP10058</v>
          </cell>
          <cell r="B59" t="str">
            <v>Carolyn Thompson</v>
          </cell>
          <cell r="C59" t="str">
            <v>Store1</v>
          </cell>
          <cell r="D59" t="str">
            <v>Security</v>
          </cell>
          <cell r="E59" t="str">
            <v>2017-07-23</v>
          </cell>
          <cell r="F59">
            <v>8.3000000000000007</v>
          </cell>
          <cell r="G59" t="str">
            <v>Active</v>
          </cell>
          <cell r="H59">
            <v>1</v>
          </cell>
        </row>
        <row r="60">
          <cell r="A60" t="str">
            <v>EMP10059</v>
          </cell>
          <cell r="B60" t="str">
            <v>Charles Edwards</v>
          </cell>
          <cell r="C60" t="str">
            <v>Store1</v>
          </cell>
          <cell r="D60" t="str">
            <v>Security</v>
          </cell>
          <cell r="E60" t="str">
            <v>2012-09-25</v>
          </cell>
          <cell r="F60">
            <v>13.1</v>
          </cell>
          <cell r="G60" t="str">
            <v>Active</v>
          </cell>
          <cell r="H60">
            <v>5</v>
          </cell>
        </row>
        <row r="61">
          <cell r="A61" t="str">
            <v>EMP10060</v>
          </cell>
          <cell r="B61" t="str">
            <v>Mary Alvarez</v>
          </cell>
          <cell r="C61" t="str">
            <v>Store1</v>
          </cell>
          <cell r="D61" t="str">
            <v>Security</v>
          </cell>
          <cell r="E61" t="str">
            <v>2020-09-27</v>
          </cell>
          <cell r="F61">
            <v>5.0999999999999996</v>
          </cell>
          <cell r="G61" t="str">
            <v>Active</v>
          </cell>
          <cell r="H61">
            <v>4</v>
          </cell>
        </row>
        <row r="62">
          <cell r="A62" t="str">
            <v>EMP10061</v>
          </cell>
          <cell r="B62" t="str">
            <v>Steven Allen</v>
          </cell>
          <cell r="C62" t="str">
            <v>Store1</v>
          </cell>
          <cell r="D62" t="str">
            <v>Security</v>
          </cell>
          <cell r="E62" t="str">
            <v>2010-11-19</v>
          </cell>
          <cell r="F62">
            <v>15</v>
          </cell>
          <cell r="G62" t="str">
            <v>Active</v>
          </cell>
          <cell r="H62">
            <v>2</v>
          </cell>
        </row>
        <row r="63">
          <cell r="A63" t="str">
            <v>EMP10062</v>
          </cell>
          <cell r="B63" t="str">
            <v>Richard Lopez</v>
          </cell>
          <cell r="C63" t="str">
            <v>Store1</v>
          </cell>
          <cell r="D63" t="str">
            <v>Security</v>
          </cell>
          <cell r="E63" t="str">
            <v>2018-05-22</v>
          </cell>
          <cell r="F63">
            <v>7.5</v>
          </cell>
          <cell r="G63" t="str">
            <v>Active</v>
          </cell>
          <cell r="H63">
            <v>3</v>
          </cell>
        </row>
        <row r="64">
          <cell r="A64" t="str">
            <v>EMP10063</v>
          </cell>
          <cell r="B64" t="str">
            <v>Rachel Davis</v>
          </cell>
          <cell r="C64" t="str">
            <v>Store1</v>
          </cell>
          <cell r="D64" t="str">
            <v>Management</v>
          </cell>
          <cell r="E64" t="str">
            <v>2016-12-15</v>
          </cell>
          <cell r="F64">
            <v>8.9</v>
          </cell>
          <cell r="G64" t="str">
            <v>Active</v>
          </cell>
          <cell r="H64">
            <v>3</v>
          </cell>
        </row>
        <row r="65">
          <cell r="A65" t="str">
            <v>EMP10064</v>
          </cell>
          <cell r="B65" t="str">
            <v>Angela Edwards</v>
          </cell>
          <cell r="C65" t="str">
            <v>Store1</v>
          </cell>
          <cell r="D65" t="str">
            <v>Management</v>
          </cell>
          <cell r="E65" t="str">
            <v>2024-03-25</v>
          </cell>
          <cell r="F65">
            <v>1.6</v>
          </cell>
          <cell r="G65" t="str">
            <v>Active</v>
          </cell>
          <cell r="H65">
            <v>3</v>
          </cell>
        </row>
        <row r="66">
          <cell r="A66" t="str">
            <v>EMP10065</v>
          </cell>
          <cell r="B66" t="str">
            <v>Emily Martinez</v>
          </cell>
          <cell r="C66" t="str">
            <v>Store1</v>
          </cell>
          <cell r="D66" t="str">
            <v>Management</v>
          </cell>
          <cell r="E66" t="str">
            <v>2017-09-24</v>
          </cell>
          <cell r="F66">
            <v>8.1</v>
          </cell>
          <cell r="G66" t="str">
            <v>On Leave</v>
          </cell>
          <cell r="H66">
            <v>3</v>
          </cell>
        </row>
        <row r="67">
          <cell r="A67" t="str">
            <v>EMP10066</v>
          </cell>
          <cell r="B67" t="str">
            <v>Samantha Myers</v>
          </cell>
          <cell r="C67" t="str">
            <v>Store1</v>
          </cell>
          <cell r="D67" t="str">
            <v>Management</v>
          </cell>
          <cell r="E67" t="str">
            <v>2014-01-17</v>
          </cell>
          <cell r="F67">
            <v>11.8</v>
          </cell>
          <cell r="G67" t="str">
            <v>Active</v>
          </cell>
          <cell r="H67">
            <v>4</v>
          </cell>
        </row>
        <row r="68">
          <cell r="A68" t="str">
            <v>EMP10067</v>
          </cell>
          <cell r="B68" t="str">
            <v>Daniel Ruiz</v>
          </cell>
          <cell r="C68" t="str">
            <v>Store1</v>
          </cell>
          <cell r="D68" t="str">
            <v>Management</v>
          </cell>
          <cell r="E68" t="str">
            <v>2014-07-16</v>
          </cell>
          <cell r="F68">
            <v>11.3</v>
          </cell>
          <cell r="G68" t="str">
            <v>Active</v>
          </cell>
          <cell r="H68">
            <v>4</v>
          </cell>
        </row>
        <row r="69">
          <cell r="A69" t="str">
            <v>EMP10068</v>
          </cell>
          <cell r="B69" t="str">
            <v>Christine Gonzalez</v>
          </cell>
          <cell r="C69" t="str">
            <v>Store1</v>
          </cell>
          <cell r="D69" t="str">
            <v>Management</v>
          </cell>
          <cell r="E69" t="str">
            <v>2024-04-11</v>
          </cell>
          <cell r="F69">
            <v>1.6</v>
          </cell>
          <cell r="G69" t="str">
            <v>On Leave</v>
          </cell>
          <cell r="H69">
            <v>4</v>
          </cell>
        </row>
        <row r="70">
          <cell r="A70" t="str">
            <v>EMP10069</v>
          </cell>
          <cell r="B70" t="str">
            <v>William Peterson</v>
          </cell>
          <cell r="C70" t="str">
            <v>Store1</v>
          </cell>
          <cell r="D70" t="str">
            <v>Management</v>
          </cell>
          <cell r="E70" t="str">
            <v>2011-10-26</v>
          </cell>
          <cell r="F70">
            <v>14</v>
          </cell>
          <cell r="G70" t="str">
            <v>Active</v>
          </cell>
          <cell r="H70">
            <v>2</v>
          </cell>
        </row>
        <row r="71">
          <cell r="A71" t="str">
            <v>EMP10070</v>
          </cell>
          <cell r="B71" t="str">
            <v>Jonathan Lopez</v>
          </cell>
          <cell r="C71" t="str">
            <v>Store1</v>
          </cell>
          <cell r="D71" t="str">
            <v>Management</v>
          </cell>
          <cell r="E71" t="str">
            <v>2015-05-28</v>
          </cell>
          <cell r="F71">
            <v>10.4</v>
          </cell>
          <cell r="G71" t="str">
            <v>Active</v>
          </cell>
          <cell r="H71">
            <v>4</v>
          </cell>
        </row>
        <row r="72">
          <cell r="A72" t="str">
            <v>EMP10071</v>
          </cell>
          <cell r="B72" t="str">
            <v>Timothy Adams</v>
          </cell>
          <cell r="C72" t="str">
            <v>Store1</v>
          </cell>
          <cell r="D72" t="str">
            <v>Management</v>
          </cell>
          <cell r="E72" t="str">
            <v>2012-05-30</v>
          </cell>
          <cell r="F72">
            <v>13.4</v>
          </cell>
          <cell r="G72" t="str">
            <v>Active</v>
          </cell>
          <cell r="H72">
            <v>4</v>
          </cell>
        </row>
        <row r="73">
          <cell r="A73" t="str">
            <v>EMP10072</v>
          </cell>
          <cell r="B73" t="str">
            <v>Justin Moore</v>
          </cell>
          <cell r="C73" t="str">
            <v>Store1</v>
          </cell>
          <cell r="D73" t="str">
            <v>Management</v>
          </cell>
          <cell r="E73" t="str">
            <v>2022-10-01</v>
          </cell>
          <cell r="F73">
            <v>3.1</v>
          </cell>
          <cell r="G73" t="str">
            <v>Active</v>
          </cell>
          <cell r="H73">
            <v>2</v>
          </cell>
        </row>
        <row r="74">
          <cell r="A74" t="str">
            <v>EMP10073</v>
          </cell>
          <cell r="B74" t="str">
            <v>Michael Rivera</v>
          </cell>
          <cell r="C74" t="str">
            <v>Store1</v>
          </cell>
          <cell r="D74" t="str">
            <v>Management</v>
          </cell>
          <cell r="E74" t="str">
            <v>2017-03-01</v>
          </cell>
          <cell r="F74">
            <v>8.6999999999999993</v>
          </cell>
          <cell r="G74" t="str">
            <v>Active</v>
          </cell>
          <cell r="H74">
            <v>2</v>
          </cell>
        </row>
        <row r="75">
          <cell r="A75" t="str">
            <v>EMP10074</v>
          </cell>
          <cell r="B75" t="str">
            <v>Mark Torres</v>
          </cell>
          <cell r="C75" t="str">
            <v>Store1</v>
          </cell>
          <cell r="D75" t="str">
            <v>Management</v>
          </cell>
          <cell r="E75" t="str">
            <v>2021-07-23</v>
          </cell>
          <cell r="F75">
            <v>4.3</v>
          </cell>
          <cell r="G75" t="str">
            <v>Active</v>
          </cell>
          <cell r="H75">
            <v>4</v>
          </cell>
        </row>
        <row r="76">
          <cell r="A76" t="str">
            <v>EMP10075</v>
          </cell>
          <cell r="B76" t="str">
            <v>Stephen Ruiz</v>
          </cell>
          <cell r="C76" t="str">
            <v>Store1</v>
          </cell>
          <cell r="D76" t="str">
            <v>Management</v>
          </cell>
          <cell r="E76" t="str">
            <v>2015-10-25</v>
          </cell>
          <cell r="F76">
            <v>10</v>
          </cell>
          <cell r="G76" t="str">
            <v>Active</v>
          </cell>
          <cell r="H76">
            <v>3</v>
          </cell>
        </row>
        <row r="77">
          <cell r="A77" t="str">
            <v>EMP10076</v>
          </cell>
          <cell r="B77" t="str">
            <v>Joshua Price</v>
          </cell>
          <cell r="C77" t="str">
            <v>Store1</v>
          </cell>
          <cell r="D77" t="str">
            <v>HR / Admin</v>
          </cell>
          <cell r="E77" t="str">
            <v>2015-09-19</v>
          </cell>
          <cell r="F77">
            <v>10.1</v>
          </cell>
          <cell r="G77" t="str">
            <v>Active</v>
          </cell>
          <cell r="H77">
            <v>3</v>
          </cell>
        </row>
        <row r="78">
          <cell r="A78" t="str">
            <v>EMP10077</v>
          </cell>
          <cell r="B78" t="str">
            <v>Laura Martin</v>
          </cell>
          <cell r="C78" t="str">
            <v>Store1</v>
          </cell>
          <cell r="D78" t="str">
            <v>HR / Admin</v>
          </cell>
          <cell r="E78" t="str">
            <v>2021-07-27</v>
          </cell>
          <cell r="F78">
            <v>4.3</v>
          </cell>
          <cell r="G78" t="str">
            <v>Active</v>
          </cell>
          <cell r="H78">
            <v>4</v>
          </cell>
        </row>
        <row r="79">
          <cell r="A79" t="str">
            <v>EMP10078</v>
          </cell>
          <cell r="B79" t="str">
            <v>Catherine Morris</v>
          </cell>
          <cell r="C79" t="str">
            <v>Store1</v>
          </cell>
          <cell r="D79" t="str">
            <v>HR / Admin</v>
          </cell>
          <cell r="E79" t="str">
            <v>2023-02-08</v>
          </cell>
          <cell r="F79">
            <v>2.7</v>
          </cell>
          <cell r="G79" t="str">
            <v>Active</v>
          </cell>
          <cell r="H79">
            <v>3</v>
          </cell>
        </row>
        <row r="80">
          <cell r="A80" t="str">
            <v>EMP10079</v>
          </cell>
          <cell r="B80" t="str">
            <v>Laura Baker</v>
          </cell>
          <cell r="C80" t="str">
            <v>Store1</v>
          </cell>
          <cell r="D80" t="str">
            <v>HR / Admin</v>
          </cell>
          <cell r="E80" t="str">
            <v>2011-12-01</v>
          </cell>
          <cell r="F80">
            <v>13.9</v>
          </cell>
          <cell r="G80" t="str">
            <v>Active</v>
          </cell>
          <cell r="H80">
            <v>3</v>
          </cell>
        </row>
        <row r="81">
          <cell r="A81" t="str">
            <v>EMP10080</v>
          </cell>
          <cell r="B81" t="str">
            <v>Justin Scott</v>
          </cell>
          <cell r="C81" t="str">
            <v>Store1</v>
          </cell>
          <cell r="D81" t="str">
            <v>HR / Admin</v>
          </cell>
          <cell r="E81" t="str">
            <v>2021-12-02</v>
          </cell>
          <cell r="F81">
            <v>3.9</v>
          </cell>
          <cell r="G81" t="str">
            <v>Active</v>
          </cell>
          <cell r="H81">
            <v>3</v>
          </cell>
        </row>
        <row r="82">
          <cell r="A82" t="str">
            <v>EMP10081</v>
          </cell>
          <cell r="B82" t="str">
            <v>James Turner</v>
          </cell>
          <cell r="C82" t="str">
            <v>Store1</v>
          </cell>
          <cell r="D82" t="str">
            <v>HR / Admin</v>
          </cell>
          <cell r="E82" t="str">
            <v>2011-04-24</v>
          </cell>
          <cell r="F82">
            <v>14.5</v>
          </cell>
          <cell r="G82" t="str">
            <v>On Leave</v>
          </cell>
          <cell r="H82">
            <v>2</v>
          </cell>
        </row>
        <row r="83">
          <cell r="A83" t="str">
            <v>EMP10082</v>
          </cell>
          <cell r="B83" t="str">
            <v>Heather Ramos</v>
          </cell>
          <cell r="C83" t="str">
            <v>Store2</v>
          </cell>
          <cell r="D83" t="str">
            <v>Checkout</v>
          </cell>
          <cell r="E83" t="str">
            <v>2022-03-23</v>
          </cell>
          <cell r="F83">
            <v>3.6</v>
          </cell>
          <cell r="G83" t="str">
            <v>Active</v>
          </cell>
          <cell r="H83">
            <v>3</v>
          </cell>
        </row>
        <row r="84">
          <cell r="A84" t="str">
            <v>EMP10083</v>
          </cell>
          <cell r="B84" t="str">
            <v>Laura Reyes</v>
          </cell>
          <cell r="C84" t="str">
            <v>Store2</v>
          </cell>
          <cell r="D84" t="str">
            <v>Checkout</v>
          </cell>
          <cell r="E84" t="str">
            <v>2014-01-13</v>
          </cell>
          <cell r="F84">
            <v>11.8</v>
          </cell>
          <cell r="G84" t="str">
            <v>Active</v>
          </cell>
          <cell r="H84">
            <v>3</v>
          </cell>
        </row>
        <row r="85">
          <cell r="A85" t="str">
            <v>EMP10084</v>
          </cell>
          <cell r="B85" t="str">
            <v>Gary Taylor</v>
          </cell>
          <cell r="C85" t="str">
            <v>Store2</v>
          </cell>
          <cell r="D85" t="str">
            <v>Checkout</v>
          </cell>
          <cell r="E85" t="str">
            <v>2018-06-29</v>
          </cell>
          <cell r="F85">
            <v>7.4</v>
          </cell>
          <cell r="G85" t="str">
            <v>Active</v>
          </cell>
          <cell r="H85">
            <v>2</v>
          </cell>
        </row>
        <row r="86">
          <cell r="A86" t="str">
            <v>EMP10085</v>
          </cell>
          <cell r="B86" t="str">
            <v>Dorothy Wright</v>
          </cell>
          <cell r="C86" t="str">
            <v>Store2</v>
          </cell>
          <cell r="D86" t="str">
            <v>Checkout</v>
          </cell>
          <cell r="E86" t="str">
            <v>2024-08-29</v>
          </cell>
          <cell r="F86">
            <v>1.2</v>
          </cell>
          <cell r="G86" t="str">
            <v>Active</v>
          </cell>
          <cell r="H86">
            <v>5</v>
          </cell>
        </row>
        <row r="87">
          <cell r="A87" t="str">
            <v>EMP10086</v>
          </cell>
          <cell r="B87" t="str">
            <v>Barbara Parker</v>
          </cell>
          <cell r="C87" t="str">
            <v>Store2</v>
          </cell>
          <cell r="D87" t="str">
            <v>Checkout</v>
          </cell>
          <cell r="E87" t="str">
            <v>2011-05-01</v>
          </cell>
          <cell r="F87">
            <v>14.5</v>
          </cell>
          <cell r="G87" t="str">
            <v>Active</v>
          </cell>
          <cell r="H87">
            <v>3</v>
          </cell>
        </row>
        <row r="88">
          <cell r="A88" t="str">
            <v>EMP10087</v>
          </cell>
          <cell r="B88" t="str">
            <v>Nicholas Moore</v>
          </cell>
          <cell r="C88" t="str">
            <v>Store2</v>
          </cell>
          <cell r="D88" t="str">
            <v>Checkout</v>
          </cell>
          <cell r="E88" t="str">
            <v>2011-10-24</v>
          </cell>
          <cell r="F88">
            <v>14</v>
          </cell>
          <cell r="G88" t="str">
            <v>Active</v>
          </cell>
          <cell r="H88">
            <v>3</v>
          </cell>
        </row>
        <row r="89">
          <cell r="A89" t="str">
            <v>EMP10088</v>
          </cell>
          <cell r="B89" t="str">
            <v>Ryan Clark</v>
          </cell>
          <cell r="C89" t="str">
            <v>Store2</v>
          </cell>
          <cell r="D89" t="str">
            <v>Checkout</v>
          </cell>
          <cell r="E89" t="str">
            <v>2019-06-20</v>
          </cell>
          <cell r="F89">
            <v>6.4</v>
          </cell>
          <cell r="G89" t="str">
            <v>Active</v>
          </cell>
          <cell r="H89">
            <v>3</v>
          </cell>
        </row>
        <row r="90">
          <cell r="A90" t="str">
            <v>EMP10089</v>
          </cell>
          <cell r="B90" t="str">
            <v>Jason Garcia</v>
          </cell>
          <cell r="C90" t="str">
            <v>Store2</v>
          </cell>
          <cell r="D90" t="str">
            <v>Checkout</v>
          </cell>
          <cell r="E90" t="str">
            <v>2020-10-16</v>
          </cell>
          <cell r="F90">
            <v>5.0999999999999996</v>
          </cell>
          <cell r="G90" t="str">
            <v>On Leave</v>
          </cell>
          <cell r="H90">
            <v>4</v>
          </cell>
        </row>
        <row r="91">
          <cell r="A91" t="str">
            <v>EMP10090</v>
          </cell>
          <cell r="B91" t="str">
            <v>Tyler Evans</v>
          </cell>
          <cell r="C91" t="str">
            <v>Store2</v>
          </cell>
          <cell r="D91" t="str">
            <v>Support</v>
          </cell>
          <cell r="E91" t="str">
            <v>2010-12-12</v>
          </cell>
          <cell r="F91">
            <v>14.9</v>
          </cell>
          <cell r="G91" t="str">
            <v>Active</v>
          </cell>
          <cell r="H91">
            <v>3</v>
          </cell>
        </row>
        <row r="92">
          <cell r="A92" t="str">
            <v>EMP10091</v>
          </cell>
          <cell r="B92" t="str">
            <v>James Gomez</v>
          </cell>
          <cell r="C92" t="str">
            <v>Store2</v>
          </cell>
          <cell r="D92" t="str">
            <v>Support</v>
          </cell>
          <cell r="E92" t="str">
            <v>2012-12-01</v>
          </cell>
          <cell r="F92">
            <v>12.9</v>
          </cell>
          <cell r="G92" t="str">
            <v>Active</v>
          </cell>
          <cell r="H92">
            <v>4</v>
          </cell>
        </row>
        <row r="93">
          <cell r="A93" t="str">
            <v>EMP10092</v>
          </cell>
          <cell r="B93" t="str">
            <v>Catherine Patel</v>
          </cell>
          <cell r="C93" t="str">
            <v>Store2</v>
          </cell>
          <cell r="D93" t="str">
            <v>Support</v>
          </cell>
          <cell r="E93" t="str">
            <v>2023-07-08</v>
          </cell>
          <cell r="F93">
            <v>2.2999999999999998</v>
          </cell>
          <cell r="G93" t="str">
            <v>Active</v>
          </cell>
          <cell r="H93">
            <v>4</v>
          </cell>
        </row>
        <row r="94">
          <cell r="A94" t="str">
            <v>EMP10093</v>
          </cell>
          <cell r="B94" t="str">
            <v>Deborah Lopez</v>
          </cell>
          <cell r="C94" t="str">
            <v>Store2</v>
          </cell>
          <cell r="D94" t="str">
            <v>Support</v>
          </cell>
          <cell r="E94" t="str">
            <v>2017-01-16</v>
          </cell>
          <cell r="F94">
            <v>8.8000000000000007</v>
          </cell>
          <cell r="G94" t="str">
            <v>Active</v>
          </cell>
          <cell r="H94">
            <v>3</v>
          </cell>
        </row>
        <row r="95">
          <cell r="A95" t="str">
            <v>EMP10094</v>
          </cell>
          <cell r="B95" t="str">
            <v>George Thompson</v>
          </cell>
          <cell r="C95" t="str">
            <v>Store2</v>
          </cell>
          <cell r="D95" t="str">
            <v>Support</v>
          </cell>
          <cell r="E95" t="str">
            <v>2012-07-25</v>
          </cell>
          <cell r="F95">
            <v>13.3</v>
          </cell>
          <cell r="G95" t="str">
            <v>Active</v>
          </cell>
          <cell r="H95">
            <v>5</v>
          </cell>
        </row>
        <row r="96">
          <cell r="A96" t="str">
            <v>EMP10095</v>
          </cell>
          <cell r="B96" t="str">
            <v>Amy Nguyen</v>
          </cell>
          <cell r="C96" t="str">
            <v>Store2</v>
          </cell>
          <cell r="D96" t="str">
            <v>Support</v>
          </cell>
          <cell r="E96" t="str">
            <v>2021-08-22</v>
          </cell>
          <cell r="F96">
            <v>4.2</v>
          </cell>
          <cell r="G96" t="str">
            <v>Active</v>
          </cell>
          <cell r="H96">
            <v>5</v>
          </cell>
        </row>
        <row r="97">
          <cell r="A97" t="str">
            <v>EMP10096</v>
          </cell>
          <cell r="B97" t="str">
            <v>Stephanie Nguyen</v>
          </cell>
          <cell r="C97" t="str">
            <v>Store2</v>
          </cell>
          <cell r="D97" t="str">
            <v>Support</v>
          </cell>
          <cell r="E97" t="str">
            <v>2012-08-30</v>
          </cell>
          <cell r="F97">
            <v>13.2</v>
          </cell>
          <cell r="G97" t="str">
            <v>Active</v>
          </cell>
          <cell r="H97">
            <v>4</v>
          </cell>
        </row>
        <row r="98">
          <cell r="A98" t="str">
            <v>EMP10097</v>
          </cell>
          <cell r="B98" t="str">
            <v>Robert Lewis</v>
          </cell>
          <cell r="C98" t="str">
            <v>Store2</v>
          </cell>
          <cell r="D98" t="str">
            <v>Support</v>
          </cell>
          <cell r="E98" t="str">
            <v>2017-08-09</v>
          </cell>
          <cell r="F98">
            <v>8.1999999999999993</v>
          </cell>
          <cell r="G98" t="str">
            <v>Active</v>
          </cell>
          <cell r="H98">
            <v>3</v>
          </cell>
        </row>
        <row r="99">
          <cell r="A99" t="str">
            <v>EMP10098</v>
          </cell>
          <cell r="B99" t="str">
            <v>Kimberly Garcia</v>
          </cell>
          <cell r="C99" t="str">
            <v>Store2</v>
          </cell>
          <cell r="D99" t="str">
            <v>Support</v>
          </cell>
          <cell r="E99" t="str">
            <v>2014-11-27</v>
          </cell>
          <cell r="F99">
            <v>10.9</v>
          </cell>
          <cell r="G99" t="str">
            <v>Active</v>
          </cell>
          <cell r="H99">
            <v>3</v>
          </cell>
        </row>
        <row r="100">
          <cell r="A100" t="str">
            <v>EMP10099</v>
          </cell>
          <cell r="B100" t="str">
            <v>Daniel Diaz</v>
          </cell>
          <cell r="C100" t="str">
            <v>Store2</v>
          </cell>
          <cell r="D100" t="str">
            <v>Support</v>
          </cell>
          <cell r="E100" t="str">
            <v>2022-11-24</v>
          </cell>
          <cell r="F100">
            <v>3</v>
          </cell>
          <cell r="G100" t="str">
            <v>Active</v>
          </cell>
          <cell r="H100">
            <v>3</v>
          </cell>
        </row>
        <row r="101">
          <cell r="A101" t="str">
            <v>EMP10100</v>
          </cell>
          <cell r="B101" t="str">
            <v>Eric Myers</v>
          </cell>
          <cell r="C101" t="str">
            <v>Store2</v>
          </cell>
          <cell r="D101" t="str">
            <v>Support</v>
          </cell>
          <cell r="E101" t="str">
            <v>2019-12-20</v>
          </cell>
          <cell r="F101">
            <v>5.9</v>
          </cell>
          <cell r="G101" t="str">
            <v>Active</v>
          </cell>
          <cell r="H101">
            <v>3</v>
          </cell>
        </row>
        <row r="102">
          <cell r="A102" t="str">
            <v>EMP10101</v>
          </cell>
          <cell r="B102" t="str">
            <v>Christopher Jones</v>
          </cell>
          <cell r="C102" t="str">
            <v>Store2</v>
          </cell>
          <cell r="D102" t="str">
            <v>Support</v>
          </cell>
          <cell r="E102" t="str">
            <v>2023-12-05</v>
          </cell>
          <cell r="F102">
            <v>1.9</v>
          </cell>
          <cell r="G102" t="str">
            <v>Active</v>
          </cell>
          <cell r="H102">
            <v>3</v>
          </cell>
        </row>
        <row r="103">
          <cell r="A103" t="str">
            <v>EMP10102</v>
          </cell>
          <cell r="B103" t="str">
            <v>Nicole Hughes</v>
          </cell>
          <cell r="C103" t="str">
            <v>Store2</v>
          </cell>
          <cell r="D103" t="str">
            <v>Support</v>
          </cell>
          <cell r="E103" t="str">
            <v>2019-01-27</v>
          </cell>
          <cell r="F103">
            <v>6.8</v>
          </cell>
          <cell r="G103" t="str">
            <v>Active</v>
          </cell>
          <cell r="H103">
            <v>4</v>
          </cell>
        </row>
        <row r="104">
          <cell r="A104" t="str">
            <v>EMP10103</v>
          </cell>
          <cell r="B104" t="str">
            <v>Sharon Sanders</v>
          </cell>
          <cell r="C104" t="str">
            <v>Store2</v>
          </cell>
          <cell r="D104" t="str">
            <v>Support</v>
          </cell>
          <cell r="E104" t="str">
            <v>2013-03-23</v>
          </cell>
          <cell r="F104">
            <v>12.6</v>
          </cell>
          <cell r="G104" t="str">
            <v>Active</v>
          </cell>
          <cell r="H104">
            <v>4</v>
          </cell>
        </row>
        <row r="105">
          <cell r="A105" t="str">
            <v>EMP10104</v>
          </cell>
          <cell r="B105" t="str">
            <v>Jerry Phillips</v>
          </cell>
          <cell r="C105" t="str">
            <v>Store2</v>
          </cell>
          <cell r="D105" t="str">
            <v>Support</v>
          </cell>
          <cell r="E105" t="str">
            <v>2012-02-28</v>
          </cell>
          <cell r="F105">
            <v>13.7</v>
          </cell>
          <cell r="G105" t="str">
            <v>Active</v>
          </cell>
          <cell r="H105">
            <v>4</v>
          </cell>
        </row>
        <row r="106">
          <cell r="A106" t="str">
            <v>EMP10105</v>
          </cell>
          <cell r="B106" t="str">
            <v>Nicole Mendoza</v>
          </cell>
          <cell r="C106" t="str">
            <v>Store2</v>
          </cell>
          <cell r="D106" t="str">
            <v>Maintenance</v>
          </cell>
          <cell r="E106" t="str">
            <v>2011-09-24</v>
          </cell>
          <cell r="F106">
            <v>14.1</v>
          </cell>
          <cell r="G106" t="str">
            <v>Active</v>
          </cell>
          <cell r="H106">
            <v>4</v>
          </cell>
        </row>
        <row r="107">
          <cell r="A107" t="str">
            <v>EMP10106</v>
          </cell>
          <cell r="B107" t="str">
            <v>Sarah Nguyen</v>
          </cell>
          <cell r="C107" t="str">
            <v>Store2</v>
          </cell>
          <cell r="D107" t="str">
            <v>Maintenance</v>
          </cell>
          <cell r="E107" t="str">
            <v>2012-10-26</v>
          </cell>
          <cell r="F107">
            <v>13</v>
          </cell>
          <cell r="G107" t="str">
            <v>Active</v>
          </cell>
          <cell r="H107">
            <v>4</v>
          </cell>
        </row>
        <row r="108">
          <cell r="A108" t="str">
            <v>EMP10107</v>
          </cell>
          <cell r="B108" t="str">
            <v>Thomas Bennett</v>
          </cell>
          <cell r="C108" t="str">
            <v>Store2</v>
          </cell>
          <cell r="D108" t="str">
            <v>Maintenance</v>
          </cell>
          <cell r="E108" t="str">
            <v>2015-07-07</v>
          </cell>
          <cell r="F108">
            <v>10.3</v>
          </cell>
          <cell r="G108" t="str">
            <v>Active</v>
          </cell>
          <cell r="H108">
            <v>4</v>
          </cell>
        </row>
        <row r="109">
          <cell r="A109" t="str">
            <v>EMP10108</v>
          </cell>
          <cell r="B109" t="str">
            <v>Eric Moore</v>
          </cell>
          <cell r="C109" t="str">
            <v>Store2</v>
          </cell>
          <cell r="D109" t="str">
            <v>Maintenance</v>
          </cell>
          <cell r="E109" t="str">
            <v>2012-06-10</v>
          </cell>
          <cell r="F109">
            <v>13.4</v>
          </cell>
          <cell r="G109" t="str">
            <v>Active</v>
          </cell>
          <cell r="H109">
            <v>3</v>
          </cell>
        </row>
        <row r="110">
          <cell r="A110" t="str">
            <v>EMP10109</v>
          </cell>
          <cell r="B110" t="str">
            <v>Samuel Adams</v>
          </cell>
          <cell r="C110" t="str">
            <v>Store2</v>
          </cell>
          <cell r="D110" t="str">
            <v>Maintenance</v>
          </cell>
          <cell r="E110" t="str">
            <v>2020-07-15</v>
          </cell>
          <cell r="F110">
            <v>5.3</v>
          </cell>
          <cell r="G110" t="str">
            <v>Active</v>
          </cell>
          <cell r="H110">
            <v>3</v>
          </cell>
        </row>
        <row r="111">
          <cell r="A111" t="str">
            <v>EMP10110</v>
          </cell>
          <cell r="B111" t="str">
            <v>Helen Allen</v>
          </cell>
          <cell r="C111" t="str">
            <v>Store2</v>
          </cell>
          <cell r="D111" t="str">
            <v>Maintenance</v>
          </cell>
          <cell r="E111" t="str">
            <v>2020-12-18</v>
          </cell>
          <cell r="F111">
            <v>4.9000000000000004</v>
          </cell>
          <cell r="G111" t="str">
            <v>Active</v>
          </cell>
          <cell r="H111">
            <v>2</v>
          </cell>
        </row>
        <row r="112">
          <cell r="A112" t="str">
            <v>EMP10111</v>
          </cell>
          <cell r="B112" t="str">
            <v>Justin Morris</v>
          </cell>
          <cell r="C112" t="str">
            <v>Store2</v>
          </cell>
          <cell r="D112" t="str">
            <v>Maintenance</v>
          </cell>
          <cell r="E112" t="str">
            <v>2017-07-02</v>
          </cell>
          <cell r="F112">
            <v>8.4</v>
          </cell>
          <cell r="G112" t="str">
            <v>Active</v>
          </cell>
          <cell r="H112">
            <v>2</v>
          </cell>
        </row>
        <row r="113">
          <cell r="A113" t="str">
            <v>EMP10112</v>
          </cell>
          <cell r="B113" t="str">
            <v>Donald Flores</v>
          </cell>
          <cell r="C113" t="str">
            <v>Store2</v>
          </cell>
          <cell r="D113" t="str">
            <v>Maintenance</v>
          </cell>
          <cell r="E113" t="str">
            <v>2025-05-06</v>
          </cell>
          <cell r="F113">
            <v>0.5</v>
          </cell>
          <cell r="G113" t="str">
            <v>Active</v>
          </cell>
          <cell r="H113">
            <v>5</v>
          </cell>
        </row>
        <row r="114">
          <cell r="A114" t="str">
            <v>EMP10113</v>
          </cell>
          <cell r="B114" t="str">
            <v>Patricia Ward</v>
          </cell>
          <cell r="C114" t="str">
            <v>Store2</v>
          </cell>
          <cell r="D114" t="str">
            <v>Maintenance</v>
          </cell>
          <cell r="E114" t="str">
            <v>2018-05-17</v>
          </cell>
          <cell r="F114">
            <v>7.5</v>
          </cell>
          <cell r="G114" t="str">
            <v>Active</v>
          </cell>
          <cell r="H114">
            <v>4</v>
          </cell>
        </row>
        <row r="115">
          <cell r="A115" t="str">
            <v>EMP10114</v>
          </cell>
          <cell r="B115" t="str">
            <v>Shirley Ward</v>
          </cell>
          <cell r="C115" t="str">
            <v>Store2</v>
          </cell>
          <cell r="D115" t="str">
            <v>Maintenance</v>
          </cell>
          <cell r="E115" t="str">
            <v>2022-03-27</v>
          </cell>
          <cell r="F115">
            <v>3.6</v>
          </cell>
          <cell r="G115" t="str">
            <v>Active</v>
          </cell>
          <cell r="H115">
            <v>2</v>
          </cell>
        </row>
        <row r="116">
          <cell r="A116" t="str">
            <v>EMP10115</v>
          </cell>
          <cell r="B116" t="str">
            <v>Karen Lopez</v>
          </cell>
          <cell r="C116" t="str">
            <v>Store2</v>
          </cell>
          <cell r="D116" t="str">
            <v>Security</v>
          </cell>
          <cell r="E116" t="str">
            <v>2013-04-09</v>
          </cell>
          <cell r="F116">
            <v>12.6</v>
          </cell>
          <cell r="G116" t="str">
            <v>Active</v>
          </cell>
          <cell r="H116">
            <v>3</v>
          </cell>
        </row>
        <row r="117">
          <cell r="A117" t="str">
            <v>EMP10116</v>
          </cell>
          <cell r="B117" t="str">
            <v>Maria Kim</v>
          </cell>
          <cell r="C117" t="str">
            <v>Store2</v>
          </cell>
          <cell r="D117" t="str">
            <v>Security</v>
          </cell>
          <cell r="E117" t="str">
            <v>2012-04-04</v>
          </cell>
          <cell r="F117">
            <v>13.6</v>
          </cell>
          <cell r="G117" t="str">
            <v>Active</v>
          </cell>
          <cell r="H117">
            <v>3</v>
          </cell>
        </row>
        <row r="118">
          <cell r="A118" t="str">
            <v>EMP10117</v>
          </cell>
          <cell r="B118" t="str">
            <v>Barbara Baker</v>
          </cell>
          <cell r="C118" t="str">
            <v>Store2</v>
          </cell>
          <cell r="D118" t="str">
            <v>Security</v>
          </cell>
          <cell r="E118" t="str">
            <v>2020-12-04</v>
          </cell>
          <cell r="F118">
            <v>4.9000000000000004</v>
          </cell>
          <cell r="G118" t="str">
            <v>Active</v>
          </cell>
          <cell r="H118">
            <v>4</v>
          </cell>
        </row>
        <row r="119">
          <cell r="A119" t="str">
            <v>EMP10118</v>
          </cell>
          <cell r="B119" t="str">
            <v>Thomas Rodriguez</v>
          </cell>
          <cell r="C119" t="str">
            <v>Store2</v>
          </cell>
          <cell r="D119" t="str">
            <v>Security</v>
          </cell>
          <cell r="E119" t="str">
            <v>2019-10-12</v>
          </cell>
          <cell r="F119">
            <v>6.1</v>
          </cell>
          <cell r="G119" t="str">
            <v>Active</v>
          </cell>
          <cell r="H119">
            <v>2</v>
          </cell>
        </row>
        <row r="120">
          <cell r="A120" t="str">
            <v>EMP10119</v>
          </cell>
          <cell r="B120" t="str">
            <v>Jonathan Morris</v>
          </cell>
          <cell r="C120" t="str">
            <v>Store2</v>
          </cell>
          <cell r="D120" t="str">
            <v>Security</v>
          </cell>
          <cell r="E120" t="str">
            <v>2020-02-19</v>
          </cell>
          <cell r="F120">
            <v>5.7</v>
          </cell>
          <cell r="G120" t="str">
            <v>Active</v>
          </cell>
          <cell r="H120">
            <v>5</v>
          </cell>
        </row>
        <row r="121">
          <cell r="A121" t="str">
            <v>EMP10120</v>
          </cell>
          <cell r="B121" t="str">
            <v>Pamela Wright</v>
          </cell>
          <cell r="C121" t="str">
            <v>Store2</v>
          </cell>
          <cell r="D121" t="str">
            <v>Security</v>
          </cell>
          <cell r="E121" t="str">
            <v>2015-05-21</v>
          </cell>
          <cell r="F121">
            <v>10.5</v>
          </cell>
          <cell r="G121" t="str">
            <v>Active</v>
          </cell>
          <cell r="H121">
            <v>2</v>
          </cell>
        </row>
        <row r="122">
          <cell r="A122" t="str">
            <v>EMP10121</v>
          </cell>
          <cell r="B122" t="str">
            <v>Tyler Wilson</v>
          </cell>
          <cell r="C122" t="str">
            <v>Store2</v>
          </cell>
          <cell r="D122" t="str">
            <v>Management</v>
          </cell>
          <cell r="E122" t="str">
            <v>2017-06-04</v>
          </cell>
          <cell r="F122">
            <v>8.4</v>
          </cell>
          <cell r="G122" t="str">
            <v>Active</v>
          </cell>
          <cell r="H122">
            <v>3</v>
          </cell>
        </row>
        <row r="123">
          <cell r="A123" t="str">
            <v>EMP10122</v>
          </cell>
          <cell r="B123" t="str">
            <v>Patricia Ruiz</v>
          </cell>
          <cell r="C123" t="str">
            <v>Store2</v>
          </cell>
          <cell r="D123" t="str">
            <v>Management</v>
          </cell>
          <cell r="E123" t="str">
            <v>2018-12-11</v>
          </cell>
          <cell r="F123">
            <v>6.9</v>
          </cell>
          <cell r="G123" t="str">
            <v>Active</v>
          </cell>
          <cell r="H123">
            <v>4</v>
          </cell>
        </row>
        <row r="124">
          <cell r="A124" t="str">
            <v>EMP10123</v>
          </cell>
          <cell r="B124" t="str">
            <v>Ashley Gomez</v>
          </cell>
          <cell r="C124" t="str">
            <v>Store2</v>
          </cell>
          <cell r="D124" t="str">
            <v>Management</v>
          </cell>
          <cell r="E124" t="str">
            <v>2012-07-28</v>
          </cell>
          <cell r="F124">
            <v>13.3</v>
          </cell>
          <cell r="G124" t="str">
            <v>Active</v>
          </cell>
          <cell r="H124">
            <v>3</v>
          </cell>
        </row>
        <row r="125">
          <cell r="A125" t="str">
            <v>EMP10124</v>
          </cell>
          <cell r="B125" t="str">
            <v>Dennis Rogers</v>
          </cell>
          <cell r="C125" t="str">
            <v>Store2</v>
          </cell>
          <cell r="D125" t="str">
            <v>Management</v>
          </cell>
          <cell r="E125" t="str">
            <v>2014-05-11</v>
          </cell>
          <cell r="F125">
            <v>11.5</v>
          </cell>
          <cell r="G125" t="str">
            <v>Active</v>
          </cell>
          <cell r="H125">
            <v>3</v>
          </cell>
        </row>
        <row r="126">
          <cell r="A126" t="str">
            <v>EMP10125</v>
          </cell>
          <cell r="B126" t="str">
            <v>Eric Miller</v>
          </cell>
          <cell r="C126" t="str">
            <v>Store2</v>
          </cell>
          <cell r="D126" t="str">
            <v>Management</v>
          </cell>
          <cell r="E126" t="str">
            <v>2019-10-15</v>
          </cell>
          <cell r="F126">
            <v>6.1</v>
          </cell>
          <cell r="G126" t="str">
            <v>Active</v>
          </cell>
          <cell r="H126">
            <v>4</v>
          </cell>
        </row>
        <row r="127">
          <cell r="A127" t="str">
            <v>EMP10126</v>
          </cell>
          <cell r="B127" t="str">
            <v>Mark Nguyen</v>
          </cell>
          <cell r="C127" t="str">
            <v>Store2</v>
          </cell>
          <cell r="D127" t="str">
            <v>Management</v>
          </cell>
          <cell r="E127" t="str">
            <v>2022-10-04</v>
          </cell>
          <cell r="F127">
            <v>3.1</v>
          </cell>
          <cell r="G127" t="str">
            <v>Active</v>
          </cell>
          <cell r="H127">
            <v>3</v>
          </cell>
        </row>
        <row r="128">
          <cell r="A128" t="str">
            <v>EMP10127</v>
          </cell>
          <cell r="B128" t="str">
            <v>Shirley Martinez</v>
          </cell>
          <cell r="C128" t="str">
            <v>Store2</v>
          </cell>
          <cell r="D128" t="str">
            <v>Management</v>
          </cell>
          <cell r="E128" t="str">
            <v>2011-01-08</v>
          </cell>
          <cell r="F128">
            <v>14.8</v>
          </cell>
          <cell r="G128" t="str">
            <v>Active</v>
          </cell>
          <cell r="H128">
            <v>2</v>
          </cell>
        </row>
        <row r="129">
          <cell r="A129" t="str">
            <v>EMP10128</v>
          </cell>
          <cell r="B129" t="str">
            <v>Maria Mendoza</v>
          </cell>
          <cell r="C129" t="str">
            <v>Store2</v>
          </cell>
          <cell r="D129" t="str">
            <v>Management</v>
          </cell>
          <cell r="E129" t="str">
            <v>2015-03-06</v>
          </cell>
          <cell r="F129">
            <v>10.7</v>
          </cell>
          <cell r="G129" t="str">
            <v>Active</v>
          </cell>
          <cell r="H129">
            <v>3</v>
          </cell>
        </row>
        <row r="130">
          <cell r="A130" t="str">
            <v>EMP10129</v>
          </cell>
          <cell r="B130" t="str">
            <v>Pamela Hall</v>
          </cell>
          <cell r="C130" t="str">
            <v>Store2</v>
          </cell>
          <cell r="D130" t="str">
            <v>HR / Admin</v>
          </cell>
          <cell r="E130" t="str">
            <v>2020-01-03</v>
          </cell>
          <cell r="F130">
            <v>5.8</v>
          </cell>
          <cell r="G130" t="str">
            <v>Active</v>
          </cell>
          <cell r="H130">
            <v>3</v>
          </cell>
        </row>
        <row r="131">
          <cell r="A131" t="str">
            <v>EMP10130</v>
          </cell>
          <cell r="B131" t="str">
            <v>Jonathan Martin</v>
          </cell>
          <cell r="C131" t="str">
            <v>Store2</v>
          </cell>
          <cell r="D131" t="str">
            <v>HR / Admin</v>
          </cell>
          <cell r="E131" t="str">
            <v>2018-04-01</v>
          </cell>
          <cell r="F131">
            <v>7.6</v>
          </cell>
          <cell r="G131" t="str">
            <v>Active</v>
          </cell>
          <cell r="H131">
            <v>3</v>
          </cell>
        </row>
        <row r="132">
          <cell r="A132" t="str">
            <v>EMP10131</v>
          </cell>
          <cell r="B132" t="str">
            <v>Rachel Rivera</v>
          </cell>
          <cell r="C132" t="str">
            <v>Store2</v>
          </cell>
          <cell r="D132" t="str">
            <v>HR / Admin</v>
          </cell>
          <cell r="E132" t="str">
            <v>2017-02-17</v>
          </cell>
          <cell r="F132">
            <v>8.6999999999999993</v>
          </cell>
          <cell r="G132" t="str">
            <v>Active</v>
          </cell>
          <cell r="H132">
            <v>3</v>
          </cell>
        </row>
        <row r="133">
          <cell r="A133" t="str">
            <v>EMP10132</v>
          </cell>
          <cell r="B133" t="str">
            <v>Diane Reyes</v>
          </cell>
          <cell r="C133" t="str">
            <v>Store2</v>
          </cell>
          <cell r="D133" t="str">
            <v>HR / Admin</v>
          </cell>
          <cell r="E133" t="str">
            <v>2017-04-28</v>
          </cell>
          <cell r="F133">
            <v>8.5</v>
          </cell>
          <cell r="G133" t="str">
            <v>Active</v>
          </cell>
          <cell r="H133">
            <v>4</v>
          </cell>
        </row>
        <row r="134">
          <cell r="A134" t="str">
            <v>EMP10133</v>
          </cell>
          <cell r="B134" t="str">
            <v>Catherine Walker</v>
          </cell>
          <cell r="C134" t="str">
            <v>Store3</v>
          </cell>
          <cell r="D134" t="str">
            <v>Checkout</v>
          </cell>
          <cell r="E134" t="str">
            <v>2015-09-08</v>
          </cell>
          <cell r="F134">
            <v>10.199999999999999</v>
          </cell>
          <cell r="G134" t="str">
            <v>Active</v>
          </cell>
          <cell r="H134">
            <v>5</v>
          </cell>
        </row>
        <row r="135">
          <cell r="A135" t="str">
            <v>EMP10134</v>
          </cell>
          <cell r="B135" t="str">
            <v>Daniel Smith</v>
          </cell>
          <cell r="C135" t="str">
            <v>Store3</v>
          </cell>
          <cell r="D135" t="str">
            <v>Checkout</v>
          </cell>
          <cell r="E135" t="str">
            <v>2020-11-08</v>
          </cell>
          <cell r="F135">
            <v>5</v>
          </cell>
          <cell r="G135" t="str">
            <v>Active</v>
          </cell>
          <cell r="H135">
            <v>4</v>
          </cell>
        </row>
        <row r="136">
          <cell r="A136" t="str">
            <v>EMP10135</v>
          </cell>
          <cell r="B136" t="str">
            <v>James Morales</v>
          </cell>
          <cell r="C136" t="str">
            <v>Store3</v>
          </cell>
          <cell r="D136" t="str">
            <v>Checkout</v>
          </cell>
          <cell r="E136" t="str">
            <v>2017-12-11</v>
          </cell>
          <cell r="F136">
            <v>7.9</v>
          </cell>
          <cell r="G136" t="str">
            <v>Active</v>
          </cell>
          <cell r="H136">
            <v>4</v>
          </cell>
        </row>
        <row r="137">
          <cell r="A137" t="str">
            <v>EMP10136</v>
          </cell>
          <cell r="B137" t="str">
            <v>Brenda Phillips</v>
          </cell>
          <cell r="C137" t="str">
            <v>Store3</v>
          </cell>
          <cell r="D137" t="str">
            <v>Support</v>
          </cell>
          <cell r="E137" t="str">
            <v>2023-10-15</v>
          </cell>
          <cell r="F137">
            <v>2.1</v>
          </cell>
          <cell r="G137" t="str">
            <v>Active</v>
          </cell>
          <cell r="H137">
            <v>4</v>
          </cell>
        </row>
        <row r="138">
          <cell r="A138" t="str">
            <v>EMP10137</v>
          </cell>
          <cell r="B138" t="str">
            <v>Donna Johnson</v>
          </cell>
          <cell r="C138" t="str">
            <v>Store3</v>
          </cell>
          <cell r="D138" t="str">
            <v>Support</v>
          </cell>
          <cell r="E138" t="str">
            <v>2015-07-03</v>
          </cell>
          <cell r="F138">
            <v>10.3</v>
          </cell>
          <cell r="G138" t="str">
            <v>Active</v>
          </cell>
          <cell r="H138">
            <v>1</v>
          </cell>
        </row>
        <row r="139">
          <cell r="A139" t="str">
            <v>EMP10138</v>
          </cell>
          <cell r="B139" t="str">
            <v>Ronald Turner</v>
          </cell>
          <cell r="C139" t="str">
            <v>Store3</v>
          </cell>
          <cell r="D139" t="str">
            <v>Support</v>
          </cell>
          <cell r="E139" t="str">
            <v>2012-03-15</v>
          </cell>
          <cell r="F139">
            <v>13.6</v>
          </cell>
          <cell r="G139" t="str">
            <v>Active</v>
          </cell>
          <cell r="H139">
            <v>3</v>
          </cell>
        </row>
        <row r="140">
          <cell r="A140" t="str">
            <v>EMP10139</v>
          </cell>
          <cell r="B140" t="str">
            <v>Mark Morales</v>
          </cell>
          <cell r="C140" t="str">
            <v>Store3</v>
          </cell>
          <cell r="D140" t="str">
            <v>Support</v>
          </cell>
          <cell r="E140" t="str">
            <v>2016-10-25</v>
          </cell>
          <cell r="F140">
            <v>9</v>
          </cell>
          <cell r="G140" t="str">
            <v>Active</v>
          </cell>
          <cell r="H140">
            <v>5</v>
          </cell>
        </row>
        <row r="141">
          <cell r="A141" t="str">
            <v>EMP10140</v>
          </cell>
          <cell r="B141" t="str">
            <v>Edward Martin</v>
          </cell>
          <cell r="C141" t="str">
            <v>Store3</v>
          </cell>
          <cell r="D141" t="str">
            <v>Support</v>
          </cell>
          <cell r="E141" t="str">
            <v>2020-08-21</v>
          </cell>
          <cell r="F141">
            <v>5.2</v>
          </cell>
          <cell r="G141" t="str">
            <v>Active</v>
          </cell>
          <cell r="H141">
            <v>3</v>
          </cell>
        </row>
        <row r="142">
          <cell r="A142" t="str">
            <v>EMP10141</v>
          </cell>
          <cell r="B142" t="str">
            <v>Janet Gonzalez</v>
          </cell>
          <cell r="C142" t="str">
            <v>Store3</v>
          </cell>
          <cell r="D142" t="str">
            <v>Support</v>
          </cell>
          <cell r="E142" t="str">
            <v>2022-10-03</v>
          </cell>
          <cell r="F142">
            <v>3.1</v>
          </cell>
          <cell r="G142" t="str">
            <v>Active</v>
          </cell>
          <cell r="H142">
            <v>3</v>
          </cell>
        </row>
        <row r="143">
          <cell r="A143" t="str">
            <v>EMP10142</v>
          </cell>
          <cell r="B143" t="str">
            <v>Mark Carter</v>
          </cell>
          <cell r="C143" t="str">
            <v>Store3</v>
          </cell>
          <cell r="D143" t="str">
            <v>Maintenance</v>
          </cell>
          <cell r="E143" t="str">
            <v>2015-10-16</v>
          </cell>
          <cell r="F143">
            <v>10.1</v>
          </cell>
          <cell r="G143" t="str">
            <v>Active</v>
          </cell>
          <cell r="H143">
            <v>3</v>
          </cell>
        </row>
        <row r="144">
          <cell r="A144" t="str">
            <v>EMP10143</v>
          </cell>
          <cell r="B144" t="str">
            <v>George Rogers</v>
          </cell>
          <cell r="C144" t="str">
            <v>Store3</v>
          </cell>
          <cell r="D144" t="str">
            <v>Maintenance</v>
          </cell>
          <cell r="E144" t="str">
            <v>2016-05-05</v>
          </cell>
          <cell r="F144">
            <v>9.5</v>
          </cell>
          <cell r="G144" t="str">
            <v>Active</v>
          </cell>
          <cell r="H144">
            <v>2</v>
          </cell>
        </row>
        <row r="145">
          <cell r="A145" t="str">
            <v>EMP10144</v>
          </cell>
          <cell r="B145" t="str">
            <v>James Davis</v>
          </cell>
          <cell r="C145" t="str">
            <v>Store3</v>
          </cell>
          <cell r="D145" t="str">
            <v>Maintenance</v>
          </cell>
          <cell r="E145" t="str">
            <v>2011-12-16</v>
          </cell>
          <cell r="F145">
            <v>13.9</v>
          </cell>
          <cell r="G145" t="str">
            <v>Active</v>
          </cell>
          <cell r="H145">
            <v>4</v>
          </cell>
        </row>
        <row r="146">
          <cell r="A146" t="str">
            <v>EMP10145</v>
          </cell>
          <cell r="B146" t="str">
            <v>Kimberly Gray</v>
          </cell>
          <cell r="C146" t="str">
            <v>Store3</v>
          </cell>
          <cell r="D146" t="str">
            <v>Maintenance</v>
          </cell>
          <cell r="E146" t="str">
            <v>2015-11-18</v>
          </cell>
          <cell r="F146">
            <v>10</v>
          </cell>
          <cell r="G146" t="str">
            <v>Active</v>
          </cell>
          <cell r="H146">
            <v>1</v>
          </cell>
        </row>
        <row r="147">
          <cell r="A147" t="str">
            <v>EMP10146</v>
          </cell>
          <cell r="B147" t="str">
            <v>Eric Mendoza</v>
          </cell>
          <cell r="C147" t="str">
            <v>Store3</v>
          </cell>
          <cell r="D147" t="str">
            <v>Security</v>
          </cell>
          <cell r="E147" t="str">
            <v>2024-06-18</v>
          </cell>
          <cell r="F147">
            <v>1.4</v>
          </cell>
          <cell r="G147" t="str">
            <v>Active</v>
          </cell>
          <cell r="H147">
            <v>4</v>
          </cell>
        </row>
        <row r="148">
          <cell r="A148" t="str">
            <v>EMP10147</v>
          </cell>
          <cell r="B148" t="str">
            <v>Eric Gomez</v>
          </cell>
          <cell r="C148" t="str">
            <v>Store3</v>
          </cell>
          <cell r="D148" t="str">
            <v>Security</v>
          </cell>
          <cell r="E148" t="str">
            <v>2019-06-29</v>
          </cell>
          <cell r="F148">
            <v>6.4</v>
          </cell>
          <cell r="G148" t="str">
            <v>On Leave</v>
          </cell>
          <cell r="H148">
            <v>4</v>
          </cell>
        </row>
        <row r="149">
          <cell r="A149" t="str">
            <v>EMP10148</v>
          </cell>
          <cell r="B149" t="str">
            <v>Dorothy Thomas</v>
          </cell>
          <cell r="C149" t="str">
            <v>Store3</v>
          </cell>
          <cell r="D149" t="str">
            <v>Security</v>
          </cell>
          <cell r="E149" t="str">
            <v>2011-08-28</v>
          </cell>
          <cell r="F149">
            <v>14.2</v>
          </cell>
          <cell r="G149" t="str">
            <v>Active</v>
          </cell>
          <cell r="H149">
            <v>4</v>
          </cell>
        </row>
        <row r="150">
          <cell r="A150" t="str">
            <v>EMP10149</v>
          </cell>
          <cell r="B150" t="str">
            <v>Michael Kelly</v>
          </cell>
          <cell r="C150" t="str">
            <v>Store3</v>
          </cell>
          <cell r="D150" t="str">
            <v>Management</v>
          </cell>
          <cell r="E150" t="str">
            <v>2013-09-29</v>
          </cell>
          <cell r="F150">
            <v>12.1</v>
          </cell>
          <cell r="G150" t="str">
            <v>Active</v>
          </cell>
          <cell r="H150">
            <v>4</v>
          </cell>
        </row>
        <row r="151">
          <cell r="A151" t="str">
            <v>EMP10150</v>
          </cell>
          <cell r="B151" t="str">
            <v>Mark Reyes</v>
          </cell>
          <cell r="C151" t="str">
            <v>Store3</v>
          </cell>
          <cell r="D151" t="str">
            <v>Management</v>
          </cell>
          <cell r="E151" t="str">
            <v>2015-07-09</v>
          </cell>
          <cell r="F151">
            <v>10.3</v>
          </cell>
          <cell r="G151" t="str">
            <v>Active</v>
          </cell>
          <cell r="H151">
            <v>3</v>
          </cell>
        </row>
        <row r="152">
          <cell r="A152" t="str">
            <v>EMP10151</v>
          </cell>
          <cell r="B152" t="str">
            <v>Gregory Lopez</v>
          </cell>
          <cell r="C152" t="str">
            <v>Store3</v>
          </cell>
          <cell r="D152" t="str">
            <v>Management</v>
          </cell>
          <cell r="E152" t="str">
            <v>2021-11-09</v>
          </cell>
          <cell r="F152">
            <v>4</v>
          </cell>
          <cell r="G152" t="str">
            <v>Active</v>
          </cell>
          <cell r="H152">
            <v>3</v>
          </cell>
        </row>
        <row r="153">
          <cell r="A153" t="str">
            <v>EMP10152</v>
          </cell>
          <cell r="B153" t="str">
            <v>Amanda Bennett</v>
          </cell>
          <cell r="C153" t="str">
            <v>Store3</v>
          </cell>
          <cell r="D153" t="str">
            <v>HR / Admin</v>
          </cell>
          <cell r="E153" t="str">
            <v>2018-01-09</v>
          </cell>
          <cell r="F153">
            <v>7.8</v>
          </cell>
          <cell r="G153" t="str">
            <v>On Leave</v>
          </cell>
          <cell r="H153">
            <v>3</v>
          </cell>
        </row>
        <row r="154">
          <cell r="A154" t="str">
            <v>EMP10153</v>
          </cell>
          <cell r="B154" t="str">
            <v>Janet Watson</v>
          </cell>
          <cell r="C154" t="str">
            <v>Store3</v>
          </cell>
          <cell r="D154" t="str">
            <v>HR / Admin</v>
          </cell>
          <cell r="E154" t="str">
            <v>2012-09-20</v>
          </cell>
          <cell r="F154">
            <v>13.1</v>
          </cell>
          <cell r="G154" t="str">
            <v>Active</v>
          </cell>
          <cell r="H154">
            <v>4</v>
          </cell>
        </row>
        <row r="155">
          <cell r="A155" t="str">
            <v>EMP10154</v>
          </cell>
          <cell r="B155" t="str">
            <v>Aaron Reed</v>
          </cell>
          <cell r="C155" t="str">
            <v>Store4</v>
          </cell>
          <cell r="D155" t="str">
            <v>Checkout</v>
          </cell>
          <cell r="E155" t="str">
            <v>2019-09-29</v>
          </cell>
          <cell r="F155">
            <v>6.1</v>
          </cell>
          <cell r="G155" t="str">
            <v>Active</v>
          </cell>
          <cell r="H155">
            <v>5</v>
          </cell>
        </row>
        <row r="156">
          <cell r="A156" t="str">
            <v>EMP10155</v>
          </cell>
          <cell r="B156" t="str">
            <v>Ruth Gray</v>
          </cell>
          <cell r="C156" t="str">
            <v>Store4</v>
          </cell>
          <cell r="D156" t="str">
            <v>Checkout</v>
          </cell>
          <cell r="E156" t="str">
            <v>2019-05-28</v>
          </cell>
          <cell r="F156">
            <v>6.4</v>
          </cell>
          <cell r="G156" t="str">
            <v>Active</v>
          </cell>
          <cell r="H156">
            <v>4</v>
          </cell>
        </row>
        <row r="157">
          <cell r="A157" t="str">
            <v>EMP10156</v>
          </cell>
          <cell r="B157" t="str">
            <v>Donna King</v>
          </cell>
          <cell r="C157" t="str">
            <v>Store4</v>
          </cell>
          <cell r="D157" t="str">
            <v>Checkout</v>
          </cell>
          <cell r="E157" t="str">
            <v>2012-07-15</v>
          </cell>
          <cell r="F157">
            <v>13.3</v>
          </cell>
          <cell r="G157" t="str">
            <v>Active</v>
          </cell>
          <cell r="H157">
            <v>1</v>
          </cell>
        </row>
        <row r="158">
          <cell r="A158" t="str">
            <v>EMP10157</v>
          </cell>
          <cell r="B158" t="str">
            <v>Raymond Clark</v>
          </cell>
          <cell r="C158" t="str">
            <v>Store4</v>
          </cell>
          <cell r="D158" t="str">
            <v>Checkout</v>
          </cell>
          <cell r="E158" t="str">
            <v>2013-09-08</v>
          </cell>
          <cell r="F158">
            <v>12.2</v>
          </cell>
          <cell r="G158" t="str">
            <v>Active</v>
          </cell>
          <cell r="H158">
            <v>4</v>
          </cell>
        </row>
        <row r="159">
          <cell r="A159" t="str">
            <v>EMP10158</v>
          </cell>
          <cell r="B159" t="str">
            <v>Timothy Peterson</v>
          </cell>
          <cell r="C159" t="str">
            <v>Store4</v>
          </cell>
          <cell r="D159" t="str">
            <v>Checkout</v>
          </cell>
          <cell r="E159" t="str">
            <v>2017-01-25</v>
          </cell>
          <cell r="F159">
            <v>8.8000000000000007</v>
          </cell>
          <cell r="G159" t="str">
            <v>Active</v>
          </cell>
          <cell r="H159">
            <v>3</v>
          </cell>
        </row>
        <row r="160">
          <cell r="A160" t="str">
            <v>EMP10159</v>
          </cell>
          <cell r="B160" t="str">
            <v>Amy Johnson</v>
          </cell>
          <cell r="C160" t="str">
            <v>Store4</v>
          </cell>
          <cell r="D160" t="str">
            <v>Checkout</v>
          </cell>
          <cell r="E160" t="str">
            <v>2017-07-06</v>
          </cell>
          <cell r="F160">
            <v>8.3000000000000007</v>
          </cell>
          <cell r="G160" t="str">
            <v>Active</v>
          </cell>
          <cell r="H160">
            <v>4</v>
          </cell>
        </row>
        <row r="161">
          <cell r="A161" t="str">
            <v>EMP10160</v>
          </cell>
          <cell r="B161" t="str">
            <v>Mark Lee</v>
          </cell>
          <cell r="C161" t="str">
            <v>Store4</v>
          </cell>
          <cell r="D161" t="str">
            <v>Checkout</v>
          </cell>
          <cell r="E161" t="str">
            <v>2022-04-01</v>
          </cell>
          <cell r="F161">
            <v>3.6</v>
          </cell>
          <cell r="G161" t="str">
            <v>Active</v>
          </cell>
          <cell r="H161">
            <v>4</v>
          </cell>
        </row>
        <row r="162">
          <cell r="A162" t="str">
            <v>EMP10161</v>
          </cell>
          <cell r="B162" t="str">
            <v>Rebecca Diaz</v>
          </cell>
          <cell r="C162" t="str">
            <v>Store4</v>
          </cell>
          <cell r="D162" t="str">
            <v>Checkout</v>
          </cell>
          <cell r="E162" t="str">
            <v>2020-06-21</v>
          </cell>
          <cell r="F162">
            <v>5.4</v>
          </cell>
          <cell r="G162" t="str">
            <v>Active</v>
          </cell>
          <cell r="H162">
            <v>3</v>
          </cell>
        </row>
        <row r="163">
          <cell r="A163" t="str">
            <v>EMP10162</v>
          </cell>
          <cell r="B163" t="str">
            <v>Jerry Watson</v>
          </cell>
          <cell r="C163" t="str">
            <v>Store4</v>
          </cell>
          <cell r="D163" t="str">
            <v>Support</v>
          </cell>
          <cell r="E163" t="str">
            <v>2024-01-16</v>
          </cell>
          <cell r="F163">
            <v>1.8</v>
          </cell>
          <cell r="G163" t="str">
            <v>Active</v>
          </cell>
          <cell r="H163">
            <v>3</v>
          </cell>
        </row>
        <row r="164">
          <cell r="A164" t="str">
            <v>EMP10163</v>
          </cell>
          <cell r="B164" t="str">
            <v>Larry Reed</v>
          </cell>
          <cell r="C164" t="str">
            <v>Store4</v>
          </cell>
          <cell r="D164" t="str">
            <v>Support</v>
          </cell>
          <cell r="E164" t="str">
            <v>2025-03-12</v>
          </cell>
          <cell r="F164">
            <v>0.7</v>
          </cell>
          <cell r="G164" t="str">
            <v>Active</v>
          </cell>
          <cell r="H164">
            <v>3</v>
          </cell>
        </row>
        <row r="165">
          <cell r="A165" t="str">
            <v>EMP10164</v>
          </cell>
          <cell r="B165" t="str">
            <v>Joshua Wright</v>
          </cell>
          <cell r="C165" t="str">
            <v>Store4</v>
          </cell>
          <cell r="D165" t="str">
            <v>Support</v>
          </cell>
          <cell r="E165" t="str">
            <v>2024-11-21</v>
          </cell>
          <cell r="F165">
            <v>1</v>
          </cell>
          <cell r="G165" t="str">
            <v>On Leave</v>
          </cell>
          <cell r="H165">
            <v>1</v>
          </cell>
        </row>
        <row r="166">
          <cell r="A166" t="str">
            <v>EMP10165</v>
          </cell>
          <cell r="B166" t="str">
            <v>Elizabeth Jackson</v>
          </cell>
          <cell r="C166" t="str">
            <v>Store4</v>
          </cell>
          <cell r="D166" t="str">
            <v>Support</v>
          </cell>
          <cell r="E166" t="str">
            <v>2017-02-18</v>
          </cell>
          <cell r="F166">
            <v>8.6999999999999993</v>
          </cell>
          <cell r="G166" t="str">
            <v>Active</v>
          </cell>
          <cell r="H166">
            <v>4</v>
          </cell>
        </row>
        <row r="167">
          <cell r="A167" t="str">
            <v>EMP10166</v>
          </cell>
          <cell r="B167" t="str">
            <v>George Lopez</v>
          </cell>
          <cell r="C167" t="str">
            <v>Store4</v>
          </cell>
          <cell r="D167" t="str">
            <v>Support</v>
          </cell>
          <cell r="E167" t="str">
            <v>2014-03-28</v>
          </cell>
          <cell r="F167">
            <v>11.6</v>
          </cell>
          <cell r="G167" t="str">
            <v>Active</v>
          </cell>
          <cell r="H167">
            <v>4</v>
          </cell>
        </row>
        <row r="168">
          <cell r="A168" t="str">
            <v>EMP10167</v>
          </cell>
          <cell r="B168" t="str">
            <v>Emma Cooper</v>
          </cell>
          <cell r="C168" t="str">
            <v>Store4</v>
          </cell>
          <cell r="D168" t="str">
            <v>Support</v>
          </cell>
          <cell r="E168" t="str">
            <v>2015-02-27</v>
          </cell>
          <cell r="F168">
            <v>10.7</v>
          </cell>
          <cell r="G168" t="str">
            <v>Active</v>
          </cell>
          <cell r="H168">
            <v>2</v>
          </cell>
        </row>
        <row r="169">
          <cell r="A169" t="str">
            <v>EMP10168</v>
          </cell>
          <cell r="B169" t="str">
            <v>Betty Campbell</v>
          </cell>
          <cell r="C169" t="str">
            <v>Store4</v>
          </cell>
          <cell r="D169" t="str">
            <v>Support</v>
          </cell>
          <cell r="E169" t="str">
            <v>2024-04-06</v>
          </cell>
          <cell r="F169">
            <v>1.6</v>
          </cell>
          <cell r="G169" t="str">
            <v>Active</v>
          </cell>
          <cell r="H169">
            <v>4</v>
          </cell>
        </row>
        <row r="170">
          <cell r="A170" t="str">
            <v>EMP10169</v>
          </cell>
          <cell r="B170" t="str">
            <v>Michael Wilson</v>
          </cell>
          <cell r="C170" t="str">
            <v>Store4</v>
          </cell>
          <cell r="D170" t="str">
            <v>Support</v>
          </cell>
          <cell r="E170" t="str">
            <v>2017-05-03</v>
          </cell>
          <cell r="F170">
            <v>8.5</v>
          </cell>
          <cell r="G170" t="str">
            <v>Active</v>
          </cell>
          <cell r="H170">
            <v>5</v>
          </cell>
        </row>
        <row r="171">
          <cell r="A171" t="str">
            <v>EMP10170</v>
          </cell>
          <cell r="B171" t="str">
            <v>Gregory Castillo</v>
          </cell>
          <cell r="C171" t="str">
            <v>Store4</v>
          </cell>
          <cell r="D171" t="str">
            <v>Support</v>
          </cell>
          <cell r="E171" t="str">
            <v>2022-10-20</v>
          </cell>
          <cell r="F171">
            <v>3</v>
          </cell>
          <cell r="G171" t="str">
            <v>Active</v>
          </cell>
          <cell r="H171">
            <v>3</v>
          </cell>
        </row>
        <row r="172">
          <cell r="A172" t="str">
            <v>EMP10171</v>
          </cell>
          <cell r="B172" t="str">
            <v>Aaron Taylor</v>
          </cell>
          <cell r="C172" t="str">
            <v>Store4</v>
          </cell>
          <cell r="D172" t="str">
            <v>Support</v>
          </cell>
          <cell r="E172" t="str">
            <v>2018-01-21</v>
          </cell>
          <cell r="F172">
            <v>7.8</v>
          </cell>
          <cell r="G172" t="str">
            <v>Active</v>
          </cell>
          <cell r="H172">
            <v>2</v>
          </cell>
        </row>
        <row r="173">
          <cell r="A173" t="str">
            <v>EMP10172</v>
          </cell>
          <cell r="B173" t="str">
            <v>Andrew Nelson</v>
          </cell>
          <cell r="C173" t="str">
            <v>Store4</v>
          </cell>
          <cell r="D173" t="str">
            <v>Support</v>
          </cell>
          <cell r="E173" t="str">
            <v>2013-02-24</v>
          </cell>
          <cell r="F173">
            <v>12.7</v>
          </cell>
          <cell r="G173" t="str">
            <v>Active</v>
          </cell>
          <cell r="H173">
            <v>4</v>
          </cell>
        </row>
        <row r="174">
          <cell r="A174" t="str">
            <v>EMP10173</v>
          </cell>
          <cell r="B174" t="str">
            <v>Patricia Castillo</v>
          </cell>
          <cell r="C174" t="str">
            <v>Store4</v>
          </cell>
          <cell r="D174" t="str">
            <v>Support</v>
          </cell>
          <cell r="E174" t="str">
            <v>2014-02-07</v>
          </cell>
          <cell r="F174">
            <v>11.7</v>
          </cell>
          <cell r="G174" t="str">
            <v>Active</v>
          </cell>
          <cell r="H174">
            <v>4</v>
          </cell>
        </row>
        <row r="175">
          <cell r="A175" t="str">
            <v>EMP10174</v>
          </cell>
          <cell r="B175" t="str">
            <v>Shirley Diaz</v>
          </cell>
          <cell r="C175" t="str">
            <v>Store4</v>
          </cell>
          <cell r="D175" t="str">
            <v>Support</v>
          </cell>
          <cell r="E175" t="str">
            <v>2013-06-17</v>
          </cell>
          <cell r="F175">
            <v>12.4</v>
          </cell>
          <cell r="G175" t="str">
            <v>Active</v>
          </cell>
          <cell r="H175">
            <v>3</v>
          </cell>
        </row>
        <row r="176">
          <cell r="A176" t="str">
            <v>EMP10175</v>
          </cell>
          <cell r="B176" t="str">
            <v>Ashley Myers</v>
          </cell>
          <cell r="C176" t="str">
            <v>Store4</v>
          </cell>
          <cell r="D176" t="str">
            <v>Support</v>
          </cell>
          <cell r="E176" t="str">
            <v>2014-01-25</v>
          </cell>
          <cell r="F176">
            <v>11.8</v>
          </cell>
          <cell r="G176" t="str">
            <v>Active</v>
          </cell>
          <cell r="H176">
            <v>3</v>
          </cell>
        </row>
        <row r="177">
          <cell r="A177" t="str">
            <v>EMP10176</v>
          </cell>
          <cell r="B177" t="str">
            <v>Jeffrey Thomas</v>
          </cell>
          <cell r="C177" t="str">
            <v>Store4</v>
          </cell>
          <cell r="D177" t="str">
            <v>Support</v>
          </cell>
          <cell r="E177" t="str">
            <v>2013-06-02</v>
          </cell>
          <cell r="F177">
            <v>12.4</v>
          </cell>
          <cell r="G177" t="str">
            <v>Active</v>
          </cell>
          <cell r="H177">
            <v>3</v>
          </cell>
        </row>
        <row r="178">
          <cell r="A178" t="str">
            <v>EMP10177</v>
          </cell>
          <cell r="B178" t="str">
            <v>Katherine Jones</v>
          </cell>
          <cell r="C178" t="str">
            <v>Store4</v>
          </cell>
          <cell r="D178" t="str">
            <v>Maintenance</v>
          </cell>
          <cell r="E178" t="str">
            <v>2015-10-11</v>
          </cell>
          <cell r="F178">
            <v>10.1</v>
          </cell>
          <cell r="G178" t="str">
            <v>Active</v>
          </cell>
          <cell r="H178">
            <v>3</v>
          </cell>
        </row>
        <row r="179">
          <cell r="A179" t="str">
            <v>EMP10178</v>
          </cell>
          <cell r="B179" t="str">
            <v>Angela Moore</v>
          </cell>
          <cell r="C179" t="str">
            <v>Store4</v>
          </cell>
          <cell r="D179" t="str">
            <v>Maintenance</v>
          </cell>
          <cell r="E179" t="str">
            <v>2023-06-07</v>
          </cell>
          <cell r="F179">
            <v>2.4</v>
          </cell>
          <cell r="G179" t="str">
            <v>Active</v>
          </cell>
          <cell r="H179">
            <v>1</v>
          </cell>
        </row>
        <row r="180">
          <cell r="A180" t="str">
            <v>EMP10179</v>
          </cell>
          <cell r="B180" t="str">
            <v>Joseph Carter</v>
          </cell>
          <cell r="C180" t="str">
            <v>Store4</v>
          </cell>
          <cell r="D180" t="str">
            <v>Maintenance</v>
          </cell>
          <cell r="E180" t="str">
            <v>2019-03-30</v>
          </cell>
          <cell r="F180">
            <v>6.6</v>
          </cell>
          <cell r="G180" t="str">
            <v>Active</v>
          </cell>
          <cell r="H180">
            <v>4</v>
          </cell>
        </row>
        <row r="181">
          <cell r="A181" t="str">
            <v>EMP10180</v>
          </cell>
          <cell r="B181" t="str">
            <v>Kevin Cooper</v>
          </cell>
          <cell r="C181" t="str">
            <v>Store4</v>
          </cell>
          <cell r="D181" t="str">
            <v>Maintenance</v>
          </cell>
          <cell r="E181" t="str">
            <v>2016-01-04</v>
          </cell>
          <cell r="F181">
            <v>9.8000000000000007</v>
          </cell>
          <cell r="G181" t="str">
            <v>Active</v>
          </cell>
          <cell r="H181">
            <v>4</v>
          </cell>
        </row>
        <row r="182">
          <cell r="A182" t="str">
            <v>EMP10181</v>
          </cell>
          <cell r="B182" t="str">
            <v>Matthew Peterson</v>
          </cell>
          <cell r="C182" t="str">
            <v>Store4</v>
          </cell>
          <cell r="D182" t="str">
            <v>Maintenance</v>
          </cell>
          <cell r="E182" t="str">
            <v>2022-12-09</v>
          </cell>
          <cell r="F182">
            <v>2.9</v>
          </cell>
          <cell r="G182" t="str">
            <v>Active</v>
          </cell>
          <cell r="H182">
            <v>2</v>
          </cell>
        </row>
        <row r="183">
          <cell r="A183" t="str">
            <v>EMP10182</v>
          </cell>
          <cell r="B183" t="str">
            <v>Ruth Cruz</v>
          </cell>
          <cell r="C183" t="str">
            <v>Store4</v>
          </cell>
          <cell r="D183" t="str">
            <v>Maintenance</v>
          </cell>
          <cell r="E183" t="str">
            <v>2014-10-31</v>
          </cell>
          <cell r="F183">
            <v>11</v>
          </cell>
          <cell r="G183" t="str">
            <v>Active</v>
          </cell>
          <cell r="H183">
            <v>4</v>
          </cell>
        </row>
        <row r="184">
          <cell r="A184" t="str">
            <v>EMP10183</v>
          </cell>
          <cell r="B184" t="str">
            <v>Gregory Carter</v>
          </cell>
          <cell r="C184" t="str">
            <v>Store4</v>
          </cell>
          <cell r="D184" t="str">
            <v>Maintenance</v>
          </cell>
          <cell r="E184" t="str">
            <v>2020-12-27</v>
          </cell>
          <cell r="F184">
            <v>4.9000000000000004</v>
          </cell>
          <cell r="G184" t="str">
            <v>Active</v>
          </cell>
          <cell r="H184">
            <v>3</v>
          </cell>
        </row>
        <row r="185">
          <cell r="A185" t="str">
            <v>EMP10184</v>
          </cell>
          <cell r="B185" t="str">
            <v>Samantha Morris</v>
          </cell>
          <cell r="C185" t="str">
            <v>Store4</v>
          </cell>
          <cell r="D185" t="str">
            <v>Maintenance</v>
          </cell>
          <cell r="E185" t="str">
            <v>2014-03-21</v>
          </cell>
          <cell r="F185">
            <v>11.6</v>
          </cell>
          <cell r="G185" t="str">
            <v>Active</v>
          </cell>
          <cell r="H185">
            <v>4</v>
          </cell>
        </row>
        <row r="186">
          <cell r="A186" t="str">
            <v>EMP10185</v>
          </cell>
          <cell r="B186" t="str">
            <v>Alexander Reed</v>
          </cell>
          <cell r="C186" t="str">
            <v>Store4</v>
          </cell>
          <cell r="D186" t="str">
            <v>Maintenance</v>
          </cell>
          <cell r="E186" t="str">
            <v>2021-10-29</v>
          </cell>
          <cell r="F186">
            <v>4</v>
          </cell>
          <cell r="G186" t="str">
            <v>Active</v>
          </cell>
          <cell r="H186">
            <v>3</v>
          </cell>
        </row>
        <row r="187">
          <cell r="A187" t="str">
            <v>EMP10186</v>
          </cell>
          <cell r="B187" t="str">
            <v>Catherine Lewis</v>
          </cell>
          <cell r="C187" t="str">
            <v>Store4</v>
          </cell>
          <cell r="D187" t="str">
            <v>Maintenance</v>
          </cell>
          <cell r="E187" t="str">
            <v>2021-08-25</v>
          </cell>
          <cell r="F187">
            <v>4.2</v>
          </cell>
          <cell r="G187" t="str">
            <v>Active</v>
          </cell>
          <cell r="H187">
            <v>3</v>
          </cell>
        </row>
        <row r="188">
          <cell r="A188" t="str">
            <v>EMP10187</v>
          </cell>
          <cell r="B188" t="str">
            <v>Matthew Jones</v>
          </cell>
          <cell r="C188" t="str">
            <v>Store4</v>
          </cell>
          <cell r="D188" t="str">
            <v>Security</v>
          </cell>
          <cell r="E188" t="str">
            <v>2022-09-10</v>
          </cell>
          <cell r="F188">
            <v>3.2</v>
          </cell>
          <cell r="G188" t="str">
            <v>Active</v>
          </cell>
          <cell r="H188">
            <v>4</v>
          </cell>
        </row>
        <row r="189">
          <cell r="A189" t="str">
            <v>EMP10188</v>
          </cell>
          <cell r="B189" t="str">
            <v>Melissa Hughes</v>
          </cell>
          <cell r="C189" t="str">
            <v>Store4</v>
          </cell>
          <cell r="D189" t="str">
            <v>Security</v>
          </cell>
          <cell r="E189" t="str">
            <v>2020-09-03</v>
          </cell>
          <cell r="F189">
            <v>5.2</v>
          </cell>
          <cell r="G189" t="str">
            <v>Active</v>
          </cell>
          <cell r="H189">
            <v>2</v>
          </cell>
        </row>
        <row r="190">
          <cell r="A190" t="str">
            <v>EMP10189</v>
          </cell>
          <cell r="B190" t="str">
            <v>Benjamin Flores</v>
          </cell>
          <cell r="C190" t="str">
            <v>Store4</v>
          </cell>
          <cell r="D190" t="str">
            <v>Security</v>
          </cell>
          <cell r="E190" t="str">
            <v>2019-06-10</v>
          </cell>
          <cell r="F190">
            <v>6.4</v>
          </cell>
          <cell r="G190" t="str">
            <v>Active</v>
          </cell>
          <cell r="H190">
            <v>3</v>
          </cell>
        </row>
        <row r="191">
          <cell r="A191" t="str">
            <v>EMP10190</v>
          </cell>
          <cell r="B191" t="str">
            <v>Ruth Flores</v>
          </cell>
          <cell r="C191" t="str">
            <v>Store4</v>
          </cell>
          <cell r="D191" t="str">
            <v>Security</v>
          </cell>
          <cell r="E191" t="str">
            <v>2021-11-03</v>
          </cell>
          <cell r="F191">
            <v>4</v>
          </cell>
          <cell r="G191" t="str">
            <v>Active</v>
          </cell>
          <cell r="H191">
            <v>4</v>
          </cell>
        </row>
        <row r="192">
          <cell r="A192" t="str">
            <v>EMP10191</v>
          </cell>
          <cell r="B192" t="str">
            <v>Catherine Collins</v>
          </cell>
          <cell r="C192" t="str">
            <v>Store4</v>
          </cell>
          <cell r="D192" t="str">
            <v>Security</v>
          </cell>
          <cell r="E192" t="str">
            <v>2024-05-14</v>
          </cell>
          <cell r="F192">
            <v>1.5</v>
          </cell>
          <cell r="G192" t="str">
            <v>Active</v>
          </cell>
          <cell r="H192">
            <v>5</v>
          </cell>
        </row>
        <row r="193">
          <cell r="A193" t="str">
            <v>EMP10192</v>
          </cell>
          <cell r="B193" t="str">
            <v>Maria Morales</v>
          </cell>
          <cell r="C193" t="str">
            <v>Store4</v>
          </cell>
          <cell r="D193" t="str">
            <v>Security</v>
          </cell>
          <cell r="E193" t="str">
            <v>2023-11-02</v>
          </cell>
          <cell r="F193">
            <v>2</v>
          </cell>
          <cell r="G193" t="str">
            <v>Active</v>
          </cell>
          <cell r="H193">
            <v>1</v>
          </cell>
        </row>
        <row r="194">
          <cell r="A194" t="str">
            <v>EMP10193</v>
          </cell>
          <cell r="B194" t="str">
            <v>Daniel Adams</v>
          </cell>
          <cell r="C194" t="str">
            <v>Store4</v>
          </cell>
          <cell r="D194" t="str">
            <v>Management</v>
          </cell>
          <cell r="E194" t="str">
            <v>2015-02-12</v>
          </cell>
          <cell r="F194">
            <v>10.7</v>
          </cell>
          <cell r="G194" t="str">
            <v>Active</v>
          </cell>
          <cell r="H194">
            <v>1</v>
          </cell>
        </row>
        <row r="195">
          <cell r="A195" t="str">
            <v>EMP10194</v>
          </cell>
          <cell r="B195" t="str">
            <v>Mary Cox</v>
          </cell>
          <cell r="C195" t="str">
            <v>Store4</v>
          </cell>
          <cell r="D195" t="str">
            <v>Management</v>
          </cell>
          <cell r="E195" t="str">
            <v>2019-12-04</v>
          </cell>
          <cell r="F195">
            <v>5.9</v>
          </cell>
          <cell r="G195" t="str">
            <v>Active</v>
          </cell>
          <cell r="H195">
            <v>4</v>
          </cell>
        </row>
        <row r="196">
          <cell r="A196" t="str">
            <v>EMP10195</v>
          </cell>
          <cell r="B196" t="str">
            <v>Thomas Patel</v>
          </cell>
          <cell r="C196" t="str">
            <v>Store4</v>
          </cell>
          <cell r="D196" t="str">
            <v>Management</v>
          </cell>
          <cell r="E196" t="str">
            <v>2012-04-19</v>
          </cell>
          <cell r="F196">
            <v>13.6</v>
          </cell>
          <cell r="G196" t="str">
            <v>Active</v>
          </cell>
          <cell r="H196">
            <v>3</v>
          </cell>
        </row>
        <row r="197">
          <cell r="A197" t="str">
            <v>EMP10196</v>
          </cell>
          <cell r="B197" t="str">
            <v>Stephen Kelly</v>
          </cell>
          <cell r="C197" t="str">
            <v>Store4</v>
          </cell>
          <cell r="D197" t="str">
            <v>Management</v>
          </cell>
          <cell r="E197" t="str">
            <v>2021-06-06</v>
          </cell>
          <cell r="F197">
            <v>4.4000000000000004</v>
          </cell>
          <cell r="G197" t="str">
            <v>Active</v>
          </cell>
          <cell r="H197">
            <v>5</v>
          </cell>
        </row>
        <row r="198">
          <cell r="A198" t="str">
            <v>EMP10197</v>
          </cell>
          <cell r="B198" t="str">
            <v>Frank Perez</v>
          </cell>
          <cell r="C198" t="str">
            <v>Store4</v>
          </cell>
          <cell r="D198" t="str">
            <v>Management</v>
          </cell>
          <cell r="E198" t="str">
            <v>2021-11-23</v>
          </cell>
          <cell r="F198">
            <v>4</v>
          </cell>
          <cell r="G198" t="str">
            <v>Active</v>
          </cell>
          <cell r="H198">
            <v>2</v>
          </cell>
        </row>
        <row r="199">
          <cell r="A199" t="str">
            <v>EMP10198</v>
          </cell>
          <cell r="B199" t="str">
            <v>Elizabeth Perez</v>
          </cell>
          <cell r="C199" t="str">
            <v>Store4</v>
          </cell>
          <cell r="D199" t="str">
            <v>Management</v>
          </cell>
          <cell r="E199" t="str">
            <v>2025-04-20</v>
          </cell>
          <cell r="F199">
            <v>0.6</v>
          </cell>
          <cell r="G199" t="str">
            <v>Active</v>
          </cell>
          <cell r="H199">
            <v>1</v>
          </cell>
        </row>
        <row r="200">
          <cell r="A200" t="str">
            <v>EMP10199</v>
          </cell>
          <cell r="B200" t="str">
            <v>Deborah Wilson</v>
          </cell>
          <cell r="C200" t="str">
            <v>Store4</v>
          </cell>
          <cell r="D200" t="str">
            <v>Management</v>
          </cell>
          <cell r="E200" t="str">
            <v>2015-02-06</v>
          </cell>
          <cell r="F200">
            <v>10.8</v>
          </cell>
          <cell r="G200" t="str">
            <v>Active</v>
          </cell>
          <cell r="H200">
            <v>4</v>
          </cell>
        </row>
        <row r="201">
          <cell r="A201" t="str">
            <v>EMP10200</v>
          </cell>
          <cell r="B201" t="str">
            <v>Pamela Miller</v>
          </cell>
          <cell r="C201" t="str">
            <v>Store4</v>
          </cell>
          <cell r="D201" t="str">
            <v>Management</v>
          </cell>
          <cell r="E201" t="str">
            <v>2014-05-30</v>
          </cell>
          <cell r="F201">
            <v>11.4</v>
          </cell>
          <cell r="G201" t="str">
            <v>Active</v>
          </cell>
          <cell r="H201">
            <v>4</v>
          </cell>
        </row>
        <row r="202">
          <cell r="A202" t="str">
            <v>EMP10201</v>
          </cell>
          <cell r="B202" t="str">
            <v>Betty Rivera</v>
          </cell>
          <cell r="C202" t="str">
            <v>Store4</v>
          </cell>
          <cell r="D202" t="str">
            <v>HR / Admin</v>
          </cell>
          <cell r="E202" t="str">
            <v>2025-04-03</v>
          </cell>
          <cell r="F202">
            <v>0.6</v>
          </cell>
          <cell r="G202" t="str">
            <v>Active</v>
          </cell>
          <cell r="H202">
            <v>4</v>
          </cell>
        </row>
        <row r="203">
          <cell r="A203" t="str">
            <v>EMP10202</v>
          </cell>
          <cell r="B203" t="str">
            <v>Justin Young</v>
          </cell>
          <cell r="C203" t="str">
            <v>Store4</v>
          </cell>
          <cell r="D203" t="str">
            <v>HR / Admin</v>
          </cell>
          <cell r="E203" t="str">
            <v>2016-11-21</v>
          </cell>
          <cell r="F203">
            <v>9</v>
          </cell>
          <cell r="G203" t="str">
            <v>Active</v>
          </cell>
          <cell r="H203">
            <v>4</v>
          </cell>
        </row>
        <row r="204">
          <cell r="A204" t="str">
            <v>EMP10203</v>
          </cell>
          <cell r="B204" t="str">
            <v>Sharon Alvarez</v>
          </cell>
          <cell r="C204" t="str">
            <v>Store4</v>
          </cell>
          <cell r="D204" t="str">
            <v>HR / Admin</v>
          </cell>
          <cell r="E204" t="str">
            <v>2011-10-08</v>
          </cell>
          <cell r="F204">
            <v>14.1</v>
          </cell>
          <cell r="G204" t="str">
            <v>Active</v>
          </cell>
          <cell r="H204">
            <v>3</v>
          </cell>
        </row>
        <row r="205">
          <cell r="A205" t="str">
            <v>EMP10204</v>
          </cell>
          <cell r="B205" t="str">
            <v>Jeffrey Morgan</v>
          </cell>
          <cell r="C205" t="str">
            <v>Store4</v>
          </cell>
          <cell r="D205" t="str">
            <v>HR / Admin</v>
          </cell>
          <cell r="E205" t="str">
            <v>2014-07-05</v>
          </cell>
          <cell r="F205">
            <v>11.3</v>
          </cell>
          <cell r="G205" t="str">
            <v>Active</v>
          </cell>
          <cell r="H205">
            <v>4</v>
          </cell>
        </row>
        <row r="206">
          <cell r="A206" t="str">
            <v>EMP10205</v>
          </cell>
          <cell r="B206" t="str">
            <v>Paul Murphy</v>
          </cell>
          <cell r="C206" t="str">
            <v>Store5</v>
          </cell>
          <cell r="D206" t="str">
            <v>Checkout</v>
          </cell>
          <cell r="E206" t="str">
            <v>2020-05-28</v>
          </cell>
          <cell r="F206">
            <v>5.4</v>
          </cell>
          <cell r="G206" t="str">
            <v>Active</v>
          </cell>
          <cell r="H206">
            <v>3</v>
          </cell>
        </row>
        <row r="207">
          <cell r="A207" t="str">
            <v>EMP10206</v>
          </cell>
          <cell r="B207" t="str">
            <v>Anna Reyes</v>
          </cell>
          <cell r="C207" t="str">
            <v>Store5</v>
          </cell>
          <cell r="D207" t="str">
            <v>Checkout</v>
          </cell>
          <cell r="E207" t="str">
            <v>2016-02-08</v>
          </cell>
          <cell r="F207">
            <v>9.6999999999999993</v>
          </cell>
          <cell r="G207" t="str">
            <v>Active</v>
          </cell>
          <cell r="H207">
            <v>3</v>
          </cell>
        </row>
        <row r="208">
          <cell r="A208" t="str">
            <v>EMP10207</v>
          </cell>
          <cell r="B208" t="str">
            <v>Deborah Peterson</v>
          </cell>
          <cell r="C208" t="str">
            <v>Store5</v>
          </cell>
          <cell r="D208" t="str">
            <v>Checkout</v>
          </cell>
          <cell r="E208" t="str">
            <v>2023-06-19</v>
          </cell>
          <cell r="F208">
            <v>2.4</v>
          </cell>
          <cell r="G208" t="str">
            <v>Active</v>
          </cell>
          <cell r="H208">
            <v>5</v>
          </cell>
        </row>
        <row r="209">
          <cell r="A209" t="str">
            <v>EMP10208</v>
          </cell>
          <cell r="B209" t="str">
            <v>Karen Rivera</v>
          </cell>
          <cell r="C209" t="str">
            <v>Store5</v>
          </cell>
          <cell r="D209" t="str">
            <v>Checkout</v>
          </cell>
          <cell r="E209" t="str">
            <v>2016-03-15</v>
          </cell>
          <cell r="F209">
            <v>9.6</v>
          </cell>
          <cell r="G209" t="str">
            <v>Active</v>
          </cell>
          <cell r="H209">
            <v>3</v>
          </cell>
        </row>
        <row r="210">
          <cell r="A210" t="str">
            <v>EMP10209</v>
          </cell>
          <cell r="B210" t="str">
            <v>William Nguyen</v>
          </cell>
          <cell r="C210" t="str">
            <v>Store5</v>
          </cell>
          <cell r="D210" t="str">
            <v>Checkout</v>
          </cell>
          <cell r="E210" t="str">
            <v>2011-05-16</v>
          </cell>
          <cell r="F210">
            <v>14.5</v>
          </cell>
          <cell r="G210" t="str">
            <v>Active</v>
          </cell>
          <cell r="H210">
            <v>4</v>
          </cell>
        </row>
        <row r="211">
          <cell r="A211" t="str">
            <v>EMP10210</v>
          </cell>
          <cell r="B211" t="str">
            <v>Anna Hernandez</v>
          </cell>
          <cell r="C211" t="str">
            <v>Store5</v>
          </cell>
          <cell r="D211" t="str">
            <v>Checkout</v>
          </cell>
          <cell r="E211" t="str">
            <v>2014-10-16</v>
          </cell>
          <cell r="F211">
            <v>11.1</v>
          </cell>
          <cell r="G211" t="str">
            <v>Active</v>
          </cell>
          <cell r="H211">
            <v>3</v>
          </cell>
        </row>
        <row r="212">
          <cell r="A212" t="str">
            <v>EMP10211</v>
          </cell>
          <cell r="B212" t="str">
            <v>Jack Nguyen</v>
          </cell>
          <cell r="C212" t="str">
            <v>Store5</v>
          </cell>
          <cell r="D212" t="str">
            <v>Checkout</v>
          </cell>
          <cell r="E212" t="str">
            <v>2019-10-07</v>
          </cell>
          <cell r="F212">
            <v>6.1</v>
          </cell>
          <cell r="G212" t="str">
            <v>Active</v>
          </cell>
          <cell r="H212">
            <v>1</v>
          </cell>
        </row>
        <row r="213">
          <cell r="A213" t="str">
            <v>EMP10212</v>
          </cell>
          <cell r="B213" t="str">
            <v>Christine Gomez</v>
          </cell>
          <cell r="C213" t="str">
            <v>Store5</v>
          </cell>
          <cell r="D213" t="str">
            <v>Support</v>
          </cell>
          <cell r="E213" t="str">
            <v>2017-04-27</v>
          </cell>
          <cell r="F213">
            <v>8.5</v>
          </cell>
          <cell r="G213" t="str">
            <v>Active</v>
          </cell>
          <cell r="H213">
            <v>1</v>
          </cell>
        </row>
        <row r="214">
          <cell r="A214" t="str">
            <v>EMP10213</v>
          </cell>
          <cell r="B214" t="str">
            <v>Rebecca Bennett</v>
          </cell>
          <cell r="C214" t="str">
            <v>Store5</v>
          </cell>
          <cell r="D214" t="str">
            <v>Support</v>
          </cell>
          <cell r="E214" t="str">
            <v>2022-10-19</v>
          </cell>
          <cell r="F214">
            <v>3.1</v>
          </cell>
          <cell r="G214" t="str">
            <v>Active</v>
          </cell>
          <cell r="H214">
            <v>3</v>
          </cell>
        </row>
        <row r="215">
          <cell r="A215" t="str">
            <v>EMP10214</v>
          </cell>
          <cell r="B215" t="str">
            <v>Mary Allen</v>
          </cell>
          <cell r="C215" t="str">
            <v>Store5</v>
          </cell>
          <cell r="D215" t="str">
            <v>Support</v>
          </cell>
          <cell r="E215" t="str">
            <v>2022-11-06</v>
          </cell>
          <cell r="F215">
            <v>3</v>
          </cell>
          <cell r="G215" t="str">
            <v>Active</v>
          </cell>
          <cell r="H215">
            <v>5</v>
          </cell>
        </row>
        <row r="216">
          <cell r="A216" t="str">
            <v>EMP10215</v>
          </cell>
          <cell r="B216" t="str">
            <v>Joseph Baker</v>
          </cell>
          <cell r="C216" t="str">
            <v>Store5</v>
          </cell>
          <cell r="D216" t="str">
            <v>Support</v>
          </cell>
          <cell r="E216" t="str">
            <v>2023-08-16</v>
          </cell>
          <cell r="F216">
            <v>2.2000000000000002</v>
          </cell>
          <cell r="G216" t="str">
            <v>Active</v>
          </cell>
          <cell r="H216">
            <v>5</v>
          </cell>
        </row>
        <row r="217">
          <cell r="A217" t="str">
            <v>EMP10216</v>
          </cell>
          <cell r="B217" t="str">
            <v>Aaron Patel</v>
          </cell>
          <cell r="C217" t="str">
            <v>Store5</v>
          </cell>
          <cell r="D217" t="str">
            <v>Support</v>
          </cell>
          <cell r="E217" t="str">
            <v>2014-08-26</v>
          </cell>
          <cell r="F217">
            <v>11.2</v>
          </cell>
          <cell r="G217" t="str">
            <v>Active</v>
          </cell>
          <cell r="H217">
            <v>4</v>
          </cell>
        </row>
        <row r="218">
          <cell r="A218" t="str">
            <v>EMP10217</v>
          </cell>
          <cell r="B218" t="str">
            <v>Kathleen Miller</v>
          </cell>
          <cell r="C218" t="str">
            <v>Store5</v>
          </cell>
          <cell r="D218" t="str">
            <v>Support</v>
          </cell>
          <cell r="E218" t="str">
            <v>2015-11-19</v>
          </cell>
          <cell r="F218">
            <v>10</v>
          </cell>
          <cell r="G218" t="str">
            <v>Active</v>
          </cell>
          <cell r="H218">
            <v>3</v>
          </cell>
        </row>
        <row r="219">
          <cell r="A219" t="str">
            <v>EMP10218</v>
          </cell>
          <cell r="B219" t="str">
            <v>John Green</v>
          </cell>
          <cell r="C219" t="str">
            <v>Store5</v>
          </cell>
          <cell r="D219" t="str">
            <v>Support</v>
          </cell>
          <cell r="E219" t="str">
            <v>2019-07-08</v>
          </cell>
          <cell r="F219">
            <v>6.3</v>
          </cell>
          <cell r="G219" t="str">
            <v>Active</v>
          </cell>
          <cell r="H219">
            <v>3</v>
          </cell>
        </row>
        <row r="220">
          <cell r="A220" t="str">
            <v>EMP10219</v>
          </cell>
          <cell r="B220" t="str">
            <v>Charles Diaz</v>
          </cell>
          <cell r="C220" t="str">
            <v>Store5</v>
          </cell>
          <cell r="D220" t="str">
            <v>Support</v>
          </cell>
          <cell r="E220" t="str">
            <v>2014-12-11</v>
          </cell>
          <cell r="F220">
            <v>10.9</v>
          </cell>
          <cell r="G220" t="str">
            <v>Active</v>
          </cell>
          <cell r="H220">
            <v>4</v>
          </cell>
        </row>
        <row r="221">
          <cell r="A221" t="str">
            <v>EMP10220</v>
          </cell>
          <cell r="B221" t="str">
            <v>Ronald Baker</v>
          </cell>
          <cell r="C221" t="str">
            <v>Store5</v>
          </cell>
          <cell r="D221" t="str">
            <v>Support</v>
          </cell>
          <cell r="E221" t="str">
            <v>2023-07-20</v>
          </cell>
          <cell r="F221">
            <v>2.2999999999999998</v>
          </cell>
          <cell r="G221" t="str">
            <v>Active</v>
          </cell>
          <cell r="H221">
            <v>3</v>
          </cell>
        </row>
        <row r="222">
          <cell r="A222" t="str">
            <v>EMP10221</v>
          </cell>
          <cell r="B222" t="str">
            <v>Ryan Williams</v>
          </cell>
          <cell r="C222" t="str">
            <v>Store5</v>
          </cell>
          <cell r="D222" t="str">
            <v>Support</v>
          </cell>
          <cell r="E222" t="str">
            <v>2012-12-05</v>
          </cell>
          <cell r="F222">
            <v>12.9</v>
          </cell>
          <cell r="G222" t="str">
            <v>Active</v>
          </cell>
          <cell r="H222">
            <v>1</v>
          </cell>
        </row>
        <row r="223">
          <cell r="A223" t="str">
            <v>EMP10222</v>
          </cell>
          <cell r="B223" t="str">
            <v>Dennis Miller</v>
          </cell>
          <cell r="C223" t="str">
            <v>Store5</v>
          </cell>
          <cell r="D223" t="str">
            <v>Support</v>
          </cell>
          <cell r="E223" t="str">
            <v>2024-12-04</v>
          </cell>
          <cell r="F223">
            <v>0.9</v>
          </cell>
          <cell r="G223" t="str">
            <v>Active</v>
          </cell>
          <cell r="H223">
            <v>4</v>
          </cell>
        </row>
        <row r="224">
          <cell r="A224" t="str">
            <v>EMP10223</v>
          </cell>
          <cell r="B224" t="str">
            <v>Andrew Brown</v>
          </cell>
          <cell r="C224" t="str">
            <v>Store5</v>
          </cell>
          <cell r="D224" t="str">
            <v>Support</v>
          </cell>
          <cell r="E224" t="str">
            <v>2022-09-29</v>
          </cell>
          <cell r="F224">
            <v>3.1</v>
          </cell>
          <cell r="G224" t="str">
            <v>Active</v>
          </cell>
          <cell r="H224">
            <v>4</v>
          </cell>
        </row>
        <row r="225">
          <cell r="A225" t="str">
            <v>EMP10224</v>
          </cell>
          <cell r="B225" t="str">
            <v>Janet Scott</v>
          </cell>
          <cell r="C225" t="str">
            <v>Store5</v>
          </cell>
          <cell r="D225" t="str">
            <v>Support</v>
          </cell>
          <cell r="E225" t="str">
            <v>2014-12-04</v>
          </cell>
          <cell r="F225">
            <v>10.9</v>
          </cell>
          <cell r="G225" t="str">
            <v>Active</v>
          </cell>
          <cell r="H225">
            <v>5</v>
          </cell>
        </row>
        <row r="226">
          <cell r="A226" t="str">
            <v>EMP10225</v>
          </cell>
          <cell r="B226" t="str">
            <v>Jennifer Hill</v>
          </cell>
          <cell r="C226" t="str">
            <v>Store5</v>
          </cell>
          <cell r="D226" t="str">
            <v>Maintenance</v>
          </cell>
          <cell r="E226" t="str">
            <v>2021-11-19</v>
          </cell>
          <cell r="F226">
            <v>4</v>
          </cell>
          <cell r="G226" t="str">
            <v>Active</v>
          </cell>
          <cell r="H226">
            <v>3</v>
          </cell>
        </row>
        <row r="227">
          <cell r="A227" t="str">
            <v>EMP10226</v>
          </cell>
          <cell r="B227" t="str">
            <v>Sarah Flores</v>
          </cell>
          <cell r="C227" t="str">
            <v>Store5</v>
          </cell>
          <cell r="D227" t="str">
            <v>Maintenance</v>
          </cell>
          <cell r="E227" t="str">
            <v>2011-12-22</v>
          </cell>
          <cell r="F227">
            <v>13.9</v>
          </cell>
          <cell r="G227" t="str">
            <v>Active</v>
          </cell>
          <cell r="H227">
            <v>5</v>
          </cell>
        </row>
        <row r="228">
          <cell r="A228" t="str">
            <v>EMP10227</v>
          </cell>
          <cell r="B228" t="str">
            <v>Gregory Adams</v>
          </cell>
          <cell r="C228" t="str">
            <v>Store5</v>
          </cell>
          <cell r="D228" t="str">
            <v>Maintenance</v>
          </cell>
          <cell r="E228" t="str">
            <v>2024-05-02</v>
          </cell>
          <cell r="F228">
            <v>1.5</v>
          </cell>
          <cell r="G228" t="str">
            <v>Active</v>
          </cell>
          <cell r="H228">
            <v>2</v>
          </cell>
        </row>
        <row r="229">
          <cell r="A229" t="str">
            <v>EMP10228</v>
          </cell>
          <cell r="B229" t="str">
            <v>Kenneth Morris</v>
          </cell>
          <cell r="C229" t="str">
            <v>Store5</v>
          </cell>
          <cell r="D229" t="str">
            <v>Maintenance</v>
          </cell>
          <cell r="E229" t="str">
            <v>2025-04-28</v>
          </cell>
          <cell r="F229">
            <v>0.5</v>
          </cell>
          <cell r="G229" t="str">
            <v>Active</v>
          </cell>
          <cell r="H229">
            <v>3</v>
          </cell>
        </row>
        <row r="230">
          <cell r="A230" t="str">
            <v>EMP10229</v>
          </cell>
          <cell r="B230" t="str">
            <v>Mary Cooper</v>
          </cell>
          <cell r="C230" t="str">
            <v>Store5</v>
          </cell>
          <cell r="D230" t="str">
            <v>Maintenance</v>
          </cell>
          <cell r="E230" t="str">
            <v>2025-04-14</v>
          </cell>
          <cell r="F230">
            <v>0.6</v>
          </cell>
          <cell r="G230" t="str">
            <v>Active</v>
          </cell>
          <cell r="H230">
            <v>4</v>
          </cell>
        </row>
        <row r="231">
          <cell r="A231" t="str">
            <v>EMP10230</v>
          </cell>
          <cell r="B231" t="str">
            <v>Nicholas Flores</v>
          </cell>
          <cell r="C231" t="str">
            <v>Store5</v>
          </cell>
          <cell r="D231" t="str">
            <v>Maintenance</v>
          </cell>
          <cell r="E231" t="str">
            <v>2016-02-14</v>
          </cell>
          <cell r="F231">
            <v>9.6999999999999993</v>
          </cell>
          <cell r="G231" t="str">
            <v>Active</v>
          </cell>
          <cell r="H231">
            <v>4</v>
          </cell>
        </row>
        <row r="232">
          <cell r="A232" t="str">
            <v>EMP10231</v>
          </cell>
          <cell r="B232" t="str">
            <v>Susan Richardson</v>
          </cell>
          <cell r="C232" t="str">
            <v>Store5</v>
          </cell>
          <cell r="D232" t="str">
            <v>Maintenance</v>
          </cell>
          <cell r="E232" t="str">
            <v>2011-10-15</v>
          </cell>
          <cell r="F232">
            <v>14.1</v>
          </cell>
          <cell r="G232" t="str">
            <v>Active</v>
          </cell>
          <cell r="H232">
            <v>3</v>
          </cell>
        </row>
        <row r="233">
          <cell r="A233" t="str">
            <v>EMP10232</v>
          </cell>
          <cell r="B233" t="str">
            <v>Linda Nelson</v>
          </cell>
          <cell r="C233" t="str">
            <v>Store5</v>
          </cell>
          <cell r="D233" t="str">
            <v>Maintenance</v>
          </cell>
          <cell r="E233" t="str">
            <v>2021-10-12</v>
          </cell>
          <cell r="F233">
            <v>4.0999999999999996</v>
          </cell>
          <cell r="G233" t="str">
            <v>Active</v>
          </cell>
          <cell r="H233">
            <v>4</v>
          </cell>
        </row>
        <row r="234">
          <cell r="A234" t="str">
            <v>EMP10233</v>
          </cell>
          <cell r="B234" t="str">
            <v>Tyler Ramos</v>
          </cell>
          <cell r="C234" t="str">
            <v>Store5</v>
          </cell>
          <cell r="D234" t="str">
            <v>Maintenance</v>
          </cell>
          <cell r="E234" t="str">
            <v>2021-01-13</v>
          </cell>
          <cell r="F234">
            <v>4.8</v>
          </cell>
          <cell r="G234" t="str">
            <v>Active</v>
          </cell>
          <cell r="H234">
            <v>4</v>
          </cell>
        </row>
        <row r="235">
          <cell r="A235" t="str">
            <v>EMP10234</v>
          </cell>
          <cell r="B235" t="str">
            <v>Jennifer Stewart</v>
          </cell>
          <cell r="C235" t="str">
            <v>Store5</v>
          </cell>
          <cell r="D235" t="str">
            <v>Security</v>
          </cell>
          <cell r="E235" t="str">
            <v>2022-09-16</v>
          </cell>
          <cell r="F235">
            <v>3.1</v>
          </cell>
          <cell r="G235" t="str">
            <v>Active</v>
          </cell>
          <cell r="H235">
            <v>5</v>
          </cell>
        </row>
        <row r="236">
          <cell r="A236" t="str">
            <v>EMP10235</v>
          </cell>
          <cell r="B236" t="str">
            <v>Mark Smith</v>
          </cell>
          <cell r="C236" t="str">
            <v>Store5</v>
          </cell>
          <cell r="D236" t="str">
            <v>Security</v>
          </cell>
          <cell r="E236" t="str">
            <v>2014-11-17</v>
          </cell>
          <cell r="F236">
            <v>11</v>
          </cell>
          <cell r="G236" t="str">
            <v>Active</v>
          </cell>
          <cell r="H236">
            <v>2</v>
          </cell>
        </row>
        <row r="237">
          <cell r="A237" t="str">
            <v>EMP10236</v>
          </cell>
          <cell r="B237" t="str">
            <v>Ronald Cox</v>
          </cell>
          <cell r="C237" t="str">
            <v>Store5</v>
          </cell>
          <cell r="D237" t="str">
            <v>Security</v>
          </cell>
          <cell r="E237" t="str">
            <v>2019-02-03</v>
          </cell>
          <cell r="F237">
            <v>6.8</v>
          </cell>
          <cell r="G237" t="str">
            <v>On Leave</v>
          </cell>
          <cell r="H237">
            <v>1</v>
          </cell>
        </row>
        <row r="238">
          <cell r="A238" t="str">
            <v>EMP10237</v>
          </cell>
          <cell r="B238" t="str">
            <v>Ruth Ruiz</v>
          </cell>
          <cell r="C238" t="str">
            <v>Store5</v>
          </cell>
          <cell r="D238" t="str">
            <v>Security</v>
          </cell>
          <cell r="E238" t="str">
            <v>2016-06-18</v>
          </cell>
          <cell r="F238">
            <v>9.4</v>
          </cell>
          <cell r="G238" t="str">
            <v>Active</v>
          </cell>
          <cell r="H238">
            <v>3</v>
          </cell>
        </row>
        <row r="239">
          <cell r="A239" t="str">
            <v>EMP10238</v>
          </cell>
          <cell r="B239" t="str">
            <v>Daniel Hall</v>
          </cell>
          <cell r="C239" t="str">
            <v>Store5</v>
          </cell>
          <cell r="D239" t="str">
            <v>Security</v>
          </cell>
          <cell r="E239" t="str">
            <v>2022-12-02</v>
          </cell>
          <cell r="F239">
            <v>2.9</v>
          </cell>
          <cell r="G239" t="str">
            <v>Active</v>
          </cell>
          <cell r="H239">
            <v>5</v>
          </cell>
        </row>
        <row r="240">
          <cell r="A240" t="str">
            <v>EMP10239</v>
          </cell>
          <cell r="B240" t="str">
            <v>Mark Myers</v>
          </cell>
          <cell r="C240" t="str">
            <v>Store5</v>
          </cell>
          <cell r="D240" t="str">
            <v>Management</v>
          </cell>
          <cell r="E240" t="str">
            <v>2022-01-29</v>
          </cell>
          <cell r="F240">
            <v>3.8</v>
          </cell>
          <cell r="G240" t="str">
            <v>Active</v>
          </cell>
          <cell r="H240">
            <v>4</v>
          </cell>
        </row>
        <row r="241">
          <cell r="A241" t="str">
            <v>EMP10240</v>
          </cell>
          <cell r="B241" t="str">
            <v>Rachel Nelson</v>
          </cell>
          <cell r="C241" t="str">
            <v>Store5</v>
          </cell>
          <cell r="D241" t="str">
            <v>Management</v>
          </cell>
          <cell r="E241" t="str">
            <v>2015-03-06</v>
          </cell>
          <cell r="F241">
            <v>10.7</v>
          </cell>
          <cell r="G241" t="str">
            <v>Active</v>
          </cell>
          <cell r="H241">
            <v>4</v>
          </cell>
        </row>
        <row r="242">
          <cell r="A242" t="str">
            <v>EMP10241</v>
          </cell>
          <cell r="B242" t="str">
            <v>Patrick Bailey</v>
          </cell>
          <cell r="C242" t="str">
            <v>Store5</v>
          </cell>
          <cell r="D242" t="str">
            <v>Management</v>
          </cell>
          <cell r="E242" t="str">
            <v>2016-12-12</v>
          </cell>
          <cell r="F242">
            <v>8.9</v>
          </cell>
          <cell r="G242" t="str">
            <v>Active</v>
          </cell>
          <cell r="H242">
            <v>4</v>
          </cell>
        </row>
        <row r="243">
          <cell r="A243" t="str">
            <v>EMP10242</v>
          </cell>
          <cell r="B243" t="str">
            <v>Timothy Mitchell</v>
          </cell>
          <cell r="C243" t="str">
            <v>Store5</v>
          </cell>
          <cell r="D243" t="str">
            <v>Management</v>
          </cell>
          <cell r="E243" t="str">
            <v>2016-05-07</v>
          </cell>
          <cell r="F243">
            <v>9.5</v>
          </cell>
          <cell r="G243" t="str">
            <v>Active</v>
          </cell>
          <cell r="H243">
            <v>4</v>
          </cell>
        </row>
        <row r="244">
          <cell r="A244" t="str">
            <v>EMP10243</v>
          </cell>
          <cell r="B244" t="str">
            <v>Gary Reed</v>
          </cell>
          <cell r="C244" t="str">
            <v>Store5</v>
          </cell>
          <cell r="D244" t="str">
            <v>Management</v>
          </cell>
          <cell r="E244" t="str">
            <v>2018-02-25</v>
          </cell>
          <cell r="F244">
            <v>7.7</v>
          </cell>
          <cell r="G244" t="str">
            <v>Active</v>
          </cell>
          <cell r="H244">
            <v>3</v>
          </cell>
        </row>
        <row r="245">
          <cell r="A245" t="str">
            <v>EMP10244</v>
          </cell>
          <cell r="B245" t="str">
            <v>Justin Ortiz</v>
          </cell>
          <cell r="C245" t="str">
            <v>Store5</v>
          </cell>
          <cell r="D245" t="str">
            <v>Management</v>
          </cell>
          <cell r="E245" t="str">
            <v>2020-10-17</v>
          </cell>
          <cell r="F245">
            <v>5.0999999999999996</v>
          </cell>
          <cell r="G245" t="str">
            <v>Active</v>
          </cell>
          <cell r="H245">
            <v>4</v>
          </cell>
        </row>
        <row r="246">
          <cell r="A246" t="str">
            <v>EMP10245</v>
          </cell>
          <cell r="B246" t="str">
            <v>Samantha Gonzalez</v>
          </cell>
          <cell r="C246" t="str">
            <v>Store5</v>
          </cell>
          <cell r="D246" t="str">
            <v>Management</v>
          </cell>
          <cell r="E246" t="str">
            <v>2015-03-13</v>
          </cell>
          <cell r="F246">
            <v>10.7</v>
          </cell>
          <cell r="G246" t="str">
            <v>Active</v>
          </cell>
          <cell r="H246">
            <v>3</v>
          </cell>
        </row>
        <row r="247">
          <cell r="A247" t="str">
            <v>EMP10246</v>
          </cell>
          <cell r="B247" t="str">
            <v>Alexander James</v>
          </cell>
          <cell r="C247" t="str">
            <v>Store5</v>
          </cell>
          <cell r="D247" t="str">
            <v>HR / Admin</v>
          </cell>
          <cell r="E247" t="str">
            <v>2012-03-14</v>
          </cell>
          <cell r="F247">
            <v>13.7</v>
          </cell>
          <cell r="G247" t="str">
            <v>Active</v>
          </cell>
          <cell r="H247">
            <v>3</v>
          </cell>
        </row>
        <row r="248">
          <cell r="A248" t="str">
            <v>EMP10247</v>
          </cell>
          <cell r="B248" t="str">
            <v>Frank Ruiz</v>
          </cell>
          <cell r="C248" t="str">
            <v>Store5</v>
          </cell>
          <cell r="D248" t="str">
            <v>HR / Admin</v>
          </cell>
          <cell r="E248" t="str">
            <v>2016-03-21</v>
          </cell>
          <cell r="F248">
            <v>9.6</v>
          </cell>
          <cell r="G248" t="str">
            <v>Active</v>
          </cell>
          <cell r="H248">
            <v>4</v>
          </cell>
        </row>
        <row r="249">
          <cell r="A249" t="str">
            <v>EMP10248</v>
          </cell>
          <cell r="B249" t="str">
            <v>Brenda Rogers</v>
          </cell>
          <cell r="C249" t="str">
            <v>Store5</v>
          </cell>
          <cell r="D249" t="str">
            <v>HR / Admin</v>
          </cell>
          <cell r="E249" t="str">
            <v>2014-10-11</v>
          </cell>
          <cell r="F249">
            <v>11.1</v>
          </cell>
          <cell r="G249" t="str">
            <v>On Leave</v>
          </cell>
          <cell r="H249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9FBC-86AE-4F76-9DDF-1E25A7E8994F}">
  <dimension ref="B2:D9"/>
  <sheetViews>
    <sheetView showGridLines="0" tabSelected="1" workbookViewId="0">
      <selection activeCell="C20" sqref="C20"/>
    </sheetView>
  </sheetViews>
  <sheetFormatPr defaultColWidth="8.77734375" defaultRowHeight="13.2" x14ac:dyDescent="0.25"/>
  <cols>
    <col min="1" max="1" width="8.77734375" style="10"/>
    <col min="2" max="2" width="13.33203125" style="10" customWidth="1"/>
    <col min="3" max="3" width="77.77734375" style="10" customWidth="1"/>
    <col min="4" max="4" width="45.6640625" style="10" customWidth="1"/>
    <col min="5" max="16384" width="8.77734375" style="10"/>
  </cols>
  <sheetData>
    <row r="2" spans="2:4" ht="14.4" x14ac:dyDescent="0.3">
      <c r="B2" t="s">
        <v>118</v>
      </c>
    </row>
    <row r="3" spans="2:4" ht="13.8" thickBot="1" x14ac:dyDescent="0.3"/>
    <row r="4" spans="2:4" ht="13.8" thickBot="1" x14ac:dyDescent="0.3">
      <c r="B4" s="11" t="s">
        <v>93</v>
      </c>
      <c r="C4" s="12" t="s">
        <v>94</v>
      </c>
      <c r="D4" s="13" t="s">
        <v>95</v>
      </c>
    </row>
    <row r="5" spans="2:4" x14ac:dyDescent="0.25">
      <c r="B5" s="14" t="s">
        <v>96</v>
      </c>
      <c r="C5" s="10" t="s">
        <v>97</v>
      </c>
      <c r="D5" s="15" t="s">
        <v>98</v>
      </c>
    </row>
    <row r="6" spans="2:4" x14ac:dyDescent="0.25">
      <c r="B6" s="14" t="s">
        <v>99</v>
      </c>
      <c r="C6" s="10" t="s">
        <v>100</v>
      </c>
      <c r="D6" s="15" t="s">
        <v>101</v>
      </c>
    </row>
    <row r="7" spans="2:4" x14ac:dyDescent="0.25">
      <c r="B7" s="14" t="s">
        <v>102</v>
      </c>
      <c r="C7" s="10" t="s">
        <v>103</v>
      </c>
      <c r="D7" s="15" t="s">
        <v>104</v>
      </c>
    </row>
    <row r="8" spans="2:4" x14ac:dyDescent="0.25">
      <c r="B8" s="14" t="s">
        <v>105</v>
      </c>
      <c r="C8" s="10" t="s">
        <v>106</v>
      </c>
      <c r="D8" s="15" t="s">
        <v>107</v>
      </c>
    </row>
    <row r="9" spans="2:4" ht="13.8" thickBot="1" x14ac:dyDescent="0.3">
      <c r="B9" s="16" t="s">
        <v>108</v>
      </c>
      <c r="C9" s="17" t="s">
        <v>109</v>
      </c>
      <c r="D9" s="18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0D6D-128E-49E7-BFA0-D38F5C312D16}">
  <dimension ref="B2:S11"/>
  <sheetViews>
    <sheetView showGridLines="0" workbookViewId="0">
      <selection activeCell="B2" sqref="B2"/>
    </sheetView>
  </sheetViews>
  <sheetFormatPr defaultRowHeight="14.4" x14ac:dyDescent="0.3"/>
  <cols>
    <col min="1" max="1" width="1.77734375" customWidth="1"/>
    <col min="2" max="2" width="14.21875" bestFit="1" customWidth="1"/>
    <col min="3" max="3" width="12.44140625" bestFit="1" customWidth="1"/>
    <col min="4" max="4" width="6.44140625" bestFit="1" customWidth="1"/>
    <col min="5" max="5" width="4.21875" bestFit="1" customWidth="1"/>
    <col min="6" max="6" width="7.44140625" bestFit="1" customWidth="1"/>
    <col min="7" max="7" width="7.77734375" bestFit="1" customWidth="1"/>
    <col min="8" max="8" width="10.77734375" bestFit="1" customWidth="1"/>
    <col min="9" max="9" width="5.21875" bestFit="1" customWidth="1"/>
    <col min="10" max="10" width="8.44140625" bestFit="1" customWidth="1"/>
    <col min="11" max="11" width="4.21875" bestFit="1" customWidth="1"/>
    <col min="12" max="12" width="8.44140625" bestFit="1" customWidth="1"/>
    <col min="13" max="13" width="15.44140625" bestFit="1" customWidth="1"/>
    <col min="14" max="14" width="17.21875" style="21" bestFit="1" customWidth="1"/>
    <col min="15" max="15" width="13.77734375" style="21" bestFit="1" customWidth="1"/>
    <col min="16" max="16" width="9.77734375" bestFit="1" customWidth="1"/>
    <col min="17" max="17" width="17.21875" bestFit="1" customWidth="1"/>
    <col min="18" max="18" width="17.5546875" bestFit="1" customWidth="1"/>
    <col min="19" max="19" width="17" bestFit="1" customWidth="1"/>
  </cols>
  <sheetData>
    <row r="2" spans="2:19" x14ac:dyDescent="0.3">
      <c r="B2" t="s">
        <v>111</v>
      </c>
    </row>
    <row r="3" spans="2:19" ht="15" thickBot="1" x14ac:dyDescent="0.35"/>
    <row r="4" spans="2:19" ht="15" thickBot="1" x14ac:dyDescent="0.35">
      <c r="B4" s="7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112</v>
      </c>
      <c r="N4" s="22" t="s">
        <v>113</v>
      </c>
      <c r="O4" s="22" t="s">
        <v>11</v>
      </c>
      <c r="P4" s="8" t="s">
        <v>115</v>
      </c>
      <c r="Q4" s="8" t="s">
        <v>12</v>
      </c>
      <c r="R4" s="8" t="s">
        <v>116</v>
      </c>
      <c r="S4" s="9" t="s">
        <v>114</v>
      </c>
    </row>
    <row r="5" spans="2:19" x14ac:dyDescent="0.3">
      <c r="B5" s="1">
        <v>4983775</v>
      </c>
      <c r="C5" s="2">
        <v>27901</v>
      </c>
      <c r="D5" s="2" t="s">
        <v>13</v>
      </c>
      <c r="E5" s="2">
        <v>22</v>
      </c>
      <c r="F5" s="2" t="s">
        <v>14</v>
      </c>
      <c r="G5" s="2" t="s">
        <v>15</v>
      </c>
      <c r="H5" s="2" t="s">
        <v>16</v>
      </c>
      <c r="I5" s="2">
        <v>2024</v>
      </c>
      <c r="J5" s="2" t="s">
        <v>17</v>
      </c>
      <c r="K5" s="2">
        <v>1</v>
      </c>
      <c r="L5" s="2" t="s">
        <v>18</v>
      </c>
      <c r="M5" s="2">
        <v>15</v>
      </c>
      <c r="N5" s="23">
        <v>249.95235579210731</v>
      </c>
      <c r="O5" s="23">
        <v>3749.28533688161</v>
      </c>
      <c r="P5" s="2" t="s">
        <v>19</v>
      </c>
      <c r="Q5" s="2" t="s">
        <v>20</v>
      </c>
      <c r="R5" s="2" t="s">
        <v>21</v>
      </c>
      <c r="S5" s="3" t="s">
        <v>22</v>
      </c>
    </row>
    <row r="6" spans="2:19" x14ac:dyDescent="0.3">
      <c r="B6" s="1">
        <v>2344675</v>
      </c>
      <c r="C6" s="2">
        <v>26603</v>
      </c>
      <c r="D6" s="2" t="s">
        <v>23</v>
      </c>
      <c r="E6" s="2">
        <v>22</v>
      </c>
      <c r="F6" s="2" t="s">
        <v>24</v>
      </c>
      <c r="G6" s="2" t="s">
        <v>25</v>
      </c>
      <c r="H6" s="2" t="s">
        <v>26</v>
      </c>
      <c r="I6" s="2">
        <v>2024</v>
      </c>
      <c r="J6" s="2" t="s">
        <v>27</v>
      </c>
      <c r="K6" s="2">
        <v>24</v>
      </c>
      <c r="L6" s="2" t="s">
        <v>28</v>
      </c>
      <c r="M6" s="2">
        <v>6</v>
      </c>
      <c r="N6" s="23">
        <v>280.39968176408479</v>
      </c>
      <c r="O6" s="23">
        <v>1682.398090584509</v>
      </c>
      <c r="P6" s="2" t="s">
        <v>29</v>
      </c>
      <c r="Q6" s="2" t="s">
        <v>30</v>
      </c>
      <c r="R6" s="2" t="s">
        <v>21</v>
      </c>
      <c r="S6" s="3" t="s">
        <v>22</v>
      </c>
    </row>
    <row r="7" spans="2:19" x14ac:dyDescent="0.3">
      <c r="B7" s="1">
        <v>8493213</v>
      </c>
      <c r="C7" s="2">
        <v>19136</v>
      </c>
      <c r="D7" s="2" t="s">
        <v>13</v>
      </c>
      <c r="E7" s="2">
        <v>19</v>
      </c>
      <c r="F7" s="2" t="s">
        <v>24</v>
      </c>
      <c r="G7" s="2" t="s">
        <v>25</v>
      </c>
      <c r="H7" s="2" t="s">
        <v>31</v>
      </c>
      <c r="I7" s="2">
        <v>2024</v>
      </c>
      <c r="J7" s="2" t="s">
        <v>32</v>
      </c>
      <c r="K7" s="2">
        <v>20</v>
      </c>
      <c r="L7" s="2" t="s">
        <v>33</v>
      </c>
      <c r="M7" s="2">
        <v>30</v>
      </c>
      <c r="N7" s="23">
        <v>264.73255309806359</v>
      </c>
      <c r="O7" s="23">
        <v>7941.9765929419082</v>
      </c>
      <c r="P7" s="2" t="s">
        <v>34</v>
      </c>
      <c r="Q7" s="2" t="s">
        <v>35</v>
      </c>
      <c r="R7" s="2" t="s">
        <v>36</v>
      </c>
      <c r="S7" s="3" t="s">
        <v>37</v>
      </c>
    </row>
    <row r="8" spans="2:19" x14ac:dyDescent="0.3">
      <c r="B8" s="1">
        <v>3217461</v>
      </c>
      <c r="C8" s="2">
        <v>74671</v>
      </c>
      <c r="D8" s="2" t="s">
        <v>13</v>
      </c>
      <c r="E8" s="2">
        <v>20</v>
      </c>
      <c r="F8" s="2" t="s">
        <v>24</v>
      </c>
      <c r="G8" s="2" t="s">
        <v>25</v>
      </c>
      <c r="H8" s="2" t="s">
        <v>38</v>
      </c>
      <c r="I8" s="2">
        <v>2024</v>
      </c>
      <c r="J8" s="2" t="s">
        <v>32</v>
      </c>
      <c r="K8" s="2">
        <v>5</v>
      </c>
      <c r="L8" s="2" t="s">
        <v>39</v>
      </c>
      <c r="M8" s="2">
        <v>62</v>
      </c>
      <c r="N8" s="23">
        <v>261.06569995264653</v>
      </c>
      <c r="O8" s="23">
        <v>16186.073397064079</v>
      </c>
      <c r="P8" s="2" t="s">
        <v>40</v>
      </c>
      <c r="Q8" s="2" t="s">
        <v>20</v>
      </c>
      <c r="R8" s="2" t="s">
        <v>41</v>
      </c>
      <c r="S8" s="3" t="s">
        <v>42</v>
      </c>
    </row>
    <row r="9" spans="2:19" x14ac:dyDescent="0.3">
      <c r="B9" s="1">
        <v>4969987</v>
      </c>
      <c r="C9" s="2">
        <v>64995</v>
      </c>
      <c r="D9" s="2" t="s">
        <v>13</v>
      </c>
      <c r="E9" s="2">
        <v>43</v>
      </c>
      <c r="F9" s="2" t="s">
        <v>14</v>
      </c>
      <c r="G9" s="2" t="s">
        <v>25</v>
      </c>
      <c r="H9" s="2" t="s">
        <v>43</v>
      </c>
      <c r="I9" s="2">
        <v>2024</v>
      </c>
      <c r="J9" s="2" t="s">
        <v>44</v>
      </c>
      <c r="K9" s="2">
        <v>15</v>
      </c>
      <c r="L9" s="2" t="s">
        <v>45</v>
      </c>
      <c r="M9" s="2">
        <v>28</v>
      </c>
      <c r="N9" s="23">
        <v>256.28097357326777</v>
      </c>
      <c r="O9" s="23">
        <v>7175.8672600514974</v>
      </c>
      <c r="P9" s="2" t="s">
        <v>46</v>
      </c>
      <c r="Q9" s="2" t="s">
        <v>47</v>
      </c>
      <c r="R9" s="2" t="s">
        <v>21</v>
      </c>
      <c r="S9" s="3" t="s">
        <v>37</v>
      </c>
    </row>
    <row r="10" spans="2:19" x14ac:dyDescent="0.3">
      <c r="B10" s="1">
        <v>4579663</v>
      </c>
      <c r="C10" s="2">
        <v>31767</v>
      </c>
      <c r="D10" s="2" t="s">
        <v>13</v>
      </c>
      <c r="E10" s="2">
        <v>19</v>
      </c>
      <c r="F10" s="2" t="s">
        <v>14</v>
      </c>
      <c r="G10" s="2" t="s">
        <v>48</v>
      </c>
      <c r="H10" s="2" t="s">
        <v>49</v>
      </c>
      <c r="I10" s="2">
        <v>2024</v>
      </c>
      <c r="J10" s="2" t="s">
        <v>50</v>
      </c>
      <c r="K10" s="2">
        <v>16</v>
      </c>
      <c r="L10" s="2" t="s">
        <v>51</v>
      </c>
      <c r="M10" s="2">
        <v>71</v>
      </c>
      <c r="N10" s="23">
        <v>238.1021840663592</v>
      </c>
      <c r="O10" s="23">
        <v>16905.2550687115</v>
      </c>
      <c r="P10" s="2" t="s">
        <v>52</v>
      </c>
      <c r="Q10" s="2" t="s">
        <v>47</v>
      </c>
      <c r="R10" s="2" t="s">
        <v>41</v>
      </c>
      <c r="S10" s="3" t="s">
        <v>22</v>
      </c>
    </row>
    <row r="11" spans="2:19" ht="15" thickBot="1" x14ac:dyDescent="0.35">
      <c r="B11" s="4">
        <v>4923734</v>
      </c>
      <c r="C11" s="5">
        <v>91172</v>
      </c>
      <c r="D11" s="5" t="s">
        <v>13</v>
      </c>
      <c r="E11" s="5">
        <v>23</v>
      </c>
      <c r="F11" s="5" t="s">
        <v>24</v>
      </c>
      <c r="G11" s="5" t="s">
        <v>48</v>
      </c>
      <c r="H11" s="5" t="s">
        <v>53</v>
      </c>
      <c r="I11" s="5">
        <v>2024</v>
      </c>
      <c r="J11" s="5" t="s">
        <v>27</v>
      </c>
      <c r="K11" s="5">
        <v>17</v>
      </c>
      <c r="L11" s="5" t="s">
        <v>54</v>
      </c>
      <c r="M11" s="5">
        <v>23</v>
      </c>
      <c r="N11" s="24">
        <v>256.28097357326777</v>
      </c>
      <c r="O11" s="24">
        <v>5894.4623921851589</v>
      </c>
      <c r="P11" s="5" t="s">
        <v>46</v>
      </c>
      <c r="Q11" s="5" t="s">
        <v>47</v>
      </c>
      <c r="R11" s="5" t="s">
        <v>55</v>
      </c>
      <c r="S11" s="6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5252-035A-43BE-910B-567D4E21DC7F}">
  <dimension ref="B2:N10"/>
  <sheetViews>
    <sheetView showGridLines="0" workbookViewId="0">
      <selection activeCell="B4" sqref="B4:N10"/>
    </sheetView>
  </sheetViews>
  <sheetFormatPr defaultColWidth="8.77734375" defaultRowHeight="13.2" x14ac:dyDescent="0.25"/>
  <cols>
    <col min="1" max="1" width="3.5546875" style="10" customWidth="1"/>
    <col min="2" max="2" width="12.5546875" style="10" bestFit="1" customWidth="1"/>
    <col min="3" max="3" width="14.5546875" style="10" bestFit="1" customWidth="1"/>
    <col min="4" max="4" width="6.44140625" style="10" bestFit="1" customWidth="1"/>
    <col min="5" max="5" width="13.21875" style="10" bestFit="1" customWidth="1"/>
    <col min="6" max="6" width="10.77734375" style="10" bestFit="1" customWidth="1"/>
    <col min="7" max="7" width="12.21875" style="10" bestFit="1" customWidth="1"/>
    <col min="8" max="8" width="12.77734375" style="10" bestFit="1" customWidth="1"/>
    <col min="9" max="9" width="8.44140625" style="10" bestFit="1" customWidth="1"/>
    <col min="10" max="10" width="10" style="10" bestFit="1" customWidth="1"/>
    <col min="11" max="11" width="11.21875" style="10" bestFit="1" customWidth="1"/>
    <col min="12" max="12" width="34.77734375" style="10" bestFit="1" customWidth="1"/>
    <col min="13" max="13" width="7.21875" style="10" bestFit="1" customWidth="1"/>
    <col min="14" max="14" width="9.21875" style="10" bestFit="1" customWidth="1"/>
    <col min="15" max="16384" width="8.77734375" style="10"/>
  </cols>
  <sheetData>
    <row r="2" spans="2:14" ht="14.4" x14ac:dyDescent="0.3">
      <c r="B2" t="s">
        <v>117</v>
      </c>
    </row>
    <row r="4" spans="2:14" ht="13.8" thickBot="1" x14ac:dyDescent="0.3">
      <c r="B4" s="25" t="s">
        <v>57</v>
      </c>
      <c r="C4" s="25" t="s">
        <v>58</v>
      </c>
      <c r="D4" s="25" t="s">
        <v>2</v>
      </c>
      <c r="E4" s="25" t="s">
        <v>59</v>
      </c>
      <c r="F4" s="25" t="s">
        <v>6</v>
      </c>
      <c r="G4" s="25" t="s">
        <v>8</v>
      </c>
      <c r="H4" s="25" t="s">
        <v>60</v>
      </c>
      <c r="I4" s="25" t="s">
        <v>61</v>
      </c>
      <c r="J4" s="25" t="s">
        <v>62</v>
      </c>
      <c r="K4" s="25" t="s">
        <v>63</v>
      </c>
      <c r="L4" s="25" t="s">
        <v>64</v>
      </c>
      <c r="M4" s="25" t="s">
        <v>65</v>
      </c>
      <c r="N4" s="25" t="s">
        <v>66</v>
      </c>
    </row>
    <row r="5" spans="2:14" x14ac:dyDescent="0.25">
      <c r="B5" s="26" t="s">
        <v>67</v>
      </c>
      <c r="C5" s="19" t="s">
        <v>68</v>
      </c>
      <c r="D5" s="19" t="s">
        <v>69</v>
      </c>
      <c r="E5" s="19" t="s">
        <v>70</v>
      </c>
      <c r="F5" s="19" t="s">
        <v>71</v>
      </c>
      <c r="G5" s="19" t="s">
        <v>72</v>
      </c>
      <c r="H5" s="19">
        <v>1</v>
      </c>
      <c r="I5" s="20" t="s">
        <v>73</v>
      </c>
      <c r="J5" s="20" t="s">
        <v>74</v>
      </c>
      <c r="K5" s="20">
        <f t="shared" ref="K5:K10" si="0">J5-I5</f>
        <v>0.49861111111111112</v>
      </c>
      <c r="L5" s="19">
        <f>VLOOKUP(B5,[1]Main!$A$1:$H$249,8,FALSE)</f>
        <v>3</v>
      </c>
      <c r="M5" s="19">
        <f>VLOOKUP(B5,[1]Main!$A$1:$H$249,6,FALSE)</f>
        <v>10.8</v>
      </c>
      <c r="N5" s="27" t="str">
        <f>VLOOKUP(B5,[1]Main!$A$1:$H$249,5,FALSE)</f>
        <v>2015-01-12</v>
      </c>
    </row>
    <row r="6" spans="2:14" x14ac:dyDescent="0.25">
      <c r="B6" s="26" t="s">
        <v>75</v>
      </c>
      <c r="C6" s="19" t="s">
        <v>76</v>
      </c>
      <c r="D6" s="19" t="s">
        <v>69</v>
      </c>
      <c r="E6" s="19" t="s">
        <v>77</v>
      </c>
      <c r="F6" s="19" t="s">
        <v>71</v>
      </c>
      <c r="G6" s="19" t="s">
        <v>72</v>
      </c>
      <c r="H6" s="19">
        <v>1</v>
      </c>
      <c r="I6" s="20" t="s">
        <v>73</v>
      </c>
      <c r="J6" s="20" t="s">
        <v>78</v>
      </c>
      <c r="K6" s="20">
        <f t="shared" si="0"/>
        <v>0.50138888888888888</v>
      </c>
      <c r="L6" s="19">
        <f>VLOOKUP(B6,[1]Main!$A$1:$H$249,8,FALSE)</f>
        <v>1</v>
      </c>
      <c r="M6" s="19">
        <f>VLOOKUP(B6,[1]Main!$A$1:$H$249,6,FALSE)</f>
        <v>8.5</v>
      </c>
      <c r="N6" s="27" t="str">
        <f>VLOOKUP(B6,[1]Main!$A$1:$H$249,5,FALSE)</f>
        <v>2017-05-14</v>
      </c>
    </row>
    <row r="7" spans="2:14" x14ac:dyDescent="0.25">
      <c r="B7" s="26" t="s">
        <v>79</v>
      </c>
      <c r="C7" s="19" t="s">
        <v>80</v>
      </c>
      <c r="D7" s="19" t="s">
        <v>69</v>
      </c>
      <c r="E7" s="19" t="s">
        <v>81</v>
      </c>
      <c r="F7" s="19" t="s">
        <v>71</v>
      </c>
      <c r="G7" s="19" t="s">
        <v>72</v>
      </c>
      <c r="H7" s="19">
        <v>1</v>
      </c>
      <c r="I7" s="20" t="s">
        <v>73</v>
      </c>
      <c r="J7" s="20" t="s">
        <v>82</v>
      </c>
      <c r="K7" s="20">
        <f t="shared" si="0"/>
        <v>0.50069444444444444</v>
      </c>
      <c r="L7" s="19">
        <f>VLOOKUP(B7,[1]Main!$A$1:$H$249,8,FALSE)</f>
        <v>3</v>
      </c>
      <c r="M7" s="19">
        <f>VLOOKUP(B7,[1]Main!$A$1:$H$249,6,FALSE)</f>
        <v>14.3</v>
      </c>
      <c r="N7" s="27" t="str">
        <f>VLOOKUP(B7,[1]Main!$A$1:$H$249,5,FALSE)</f>
        <v>2011-07-13</v>
      </c>
    </row>
    <row r="8" spans="2:14" x14ac:dyDescent="0.25">
      <c r="B8" s="26" t="s">
        <v>83</v>
      </c>
      <c r="C8" s="19" t="s">
        <v>84</v>
      </c>
      <c r="D8" s="19" t="s">
        <v>69</v>
      </c>
      <c r="E8" s="19" t="s">
        <v>85</v>
      </c>
      <c r="F8" s="19" t="s">
        <v>71</v>
      </c>
      <c r="G8" s="19" t="s">
        <v>72</v>
      </c>
      <c r="H8" s="19">
        <v>1</v>
      </c>
      <c r="I8" s="20" t="s">
        <v>73</v>
      </c>
      <c r="J8" s="20" t="s">
        <v>86</v>
      </c>
      <c r="K8" s="20">
        <f t="shared" si="0"/>
        <v>0.5</v>
      </c>
      <c r="L8" s="19">
        <f>VLOOKUP(B8,[1]Main!$A$1:$H$249,8,FALSE)</f>
        <v>3</v>
      </c>
      <c r="M8" s="19">
        <f>VLOOKUP(B8,[1]Main!$A$1:$H$249,6,FALSE)</f>
        <v>6.1</v>
      </c>
      <c r="N8" s="27" t="str">
        <f>VLOOKUP(B8,[1]Main!$A$1:$H$249,5,FALSE)</f>
        <v>2019-10-03</v>
      </c>
    </row>
    <row r="9" spans="2:14" x14ac:dyDescent="0.25">
      <c r="B9" s="26" t="s">
        <v>87</v>
      </c>
      <c r="C9" s="19" t="s">
        <v>88</v>
      </c>
      <c r="D9" s="19" t="s">
        <v>69</v>
      </c>
      <c r="E9" s="19" t="s">
        <v>89</v>
      </c>
      <c r="F9" s="19" t="s">
        <v>71</v>
      </c>
      <c r="G9" s="19" t="s">
        <v>72</v>
      </c>
      <c r="H9" s="19">
        <v>1</v>
      </c>
      <c r="I9" s="20" t="s">
        <v>73</v>
      </c>
      <c r="J9" s="20" t="s">
        <v>86</v>
      </c>
      <c r="K9" s="20">
        <f t="shared" si="0"/>
        <v>0.5</v>
      </c>
      <c r="L9" s="19">
        <f>VLOOKUP(B9,[1]Main!$A$1:$H$249,8,FALSE)</f>
        <v>1</v>
      </c>
      <c r="M9" s="19">
        <f>VLOOKUP(B9,[1]Main!$A$1:$H$249,6,FALSE)</f>
        <v>4</v>
      </c>
      <c r="N9" s="27" t="str">
        <f>VLOOKUP(B9,[1]Main!$A$1:$H$249,5,FALSE)</f>
        <v>2021-11-21</v>
      </c>
    </row>
    <row r="10" spans="2:14" x14ac:dyDescent="0.25">
      <c r="B10" s="28" t="s">
        <v>90</v>
      </c>
      <c r="C10" s="29" t="s">
        <v>91</v>
      </c>
      <c r="D10" s="29" t="s">
        <v>69</v>
      </c>
      <c r="E10" s="29" t="s">
        <v>92</v>
      </c>
      <c r="F10" s="29" t="s">
        <v>71</v>
      </c>
      <c r="G10" s="29" t="s">
        <v>72</v>
      </c>
      <c r="H10" s="29">
        <v>1</v>
      </c>
      <c r="I10" s="30" t="s">
        <v>73</v>
      </c>
      <c r="J10" s="30" t="s">
        <v>86</v>
      </c>
      <c r="K10" s="30">
        <f t="shared" si="0"/>
        <v>0.5</v>
      </c>
      <c r="L10" s="29">
        <f>VLOOKUP(B10,[1]Main!$A$1:$H$249,8,FALSE)</f>
        <v>4</v>
      </c>
      <c r="M10" s="29">
        <f>VLOOKUP(B10,[1]Main!$A$1:$H$249,6,FALSE)</f>
        <v>7.2</v>
      </c>
      <c r="N10" s="31" t="str">
        <f>VLOOKUP(B10,[1]Main!$A$1:$H$249,5,FALSE)</f>
        <v>2018-09-10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49EDD050D8EE49988644A9496A40A2" ma:contentTypeVersion="0" ma:contentTypeDescription="Create a new document." ma:contentTypeScope="" ma:versionID="3f5ee5643ed881a344b1e1110c371d5e">
  <xsd:schema xmlns:xsd="http://www.w3.org/2001/XMLSchema" xmlns:xs="http://www.w3.org/2001/XMLSchema" xmlns:p="http://schemas.microsoft.com/office/2006/metadata/properties" xmlns:ns2="f2f9e722-2908-4f45-ba69-ad9b73855325" targetNamespace="http://schemas.microsoft.com/office/2006/metadata/properties" ma:root="true" ma:fieldsID="8e975a50ccafa6c6e057c5956d548a04" ns2:_="">
    <xsd:import namespace="f2f9e722-2908-4f45-ba69-ad9b7385532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9e722-2908-4f45-ba69-ad9b7385532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2f9e722-2908-4f45-ba69-ad9b73855325">QEAH6XN5C4KF-1572327370-4</_dlc_DocId>
    <_dlc_DocIdUrl xmlns="f2f9e722-2908-4f45-ba69-ad9b73855325">
      <Url>https://accordionpartnersnyc.sharepoint.com/sites/KMMaven/AgenticAIHackathon/_layouts/15/DocIdRedir.aspx?ID=QEAH6XN5C4KF-1572327370-4</Url>
      <Description>QEAH6XN5C4KF-1572327370-4</Description>
    </_dlc_DocIdUrl>
  </documentManagement>
</p:properties>
</file>

<file path=customXml/itemProps1.xml><?xml version="1.0" encoding="utf-8"?>
<ds:datastoreItem xmlns:ds="http://schemas.openxmlformats.org/officeDocument/2006/customXml" ds:itemID="{6A16A761-F3CB-4FA0-9574-0F0FAECA7AEB}"/>
</file>

<file path=customXml/itemProps2.xml><?xml version="1.0" encoding="utf-8"?>
<ds:datastoreItem xmlns:ds="http://schemas.openxmlformats.org/officeDocument/2006/customXml" ds:itemID="{300B01EE-7FBD-43DB-983B-133D6A76D06F}"/>
</file>

<file path=customXml/itemProps3.xml><?xml version="1.0" encoding="utf-8"?>
<ds:datastoreItem xmlns:ds="http://schemas.openxmlformats.org/officeDocument/2006/customXml" ds:itemID="{152F2A2B-9DCC-4C2E-9594-992F7080E352}"/>
</file>

<file path=customXml/itemProps4.xml><?xml version="1.0" encoding="utf-8"?>
<ds:datastoreItem xmlns:ds="http://schemas.openxmlformats.org/officeDocument/2006/customXml" ds:itemID="{6E9BB89F-7545-4A89-BB4F-12F4A106C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 Data</vt:lpstr>
      <vt:lpstr>Transactional Data</vt:lpstr>
      <vt:lpstr>Employee Shifts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Sandilya Garimella</dc:creator>
  <cp:keywords/>
  <dc:description/>
  <cp:lastModifiedBy>Naveen Badampudi</cp:lastModifiedBy>
  <cp:revision/>
  <dcterms:created xsi:type="dcterms:W3CDTF">2025-11-07T06:12:23Z</dcterms:created>
  <dcterms:modified xsi:type="dcterms:W3CDTF">2025-11-07T06:27:16Z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0x010100D649EDD050D8EE49988644A9496A40A2</vt:lpwstr>
  </property>
  <property fmtid="{D5CDD505-2E9C-101B-9397-08002B2CF9AE}" pid="3" name="_dlc_DocIdItemGuid">
    <vt:lpwstr>6197509f-8b57-4ba6-b206-20b2b3399f07</vt:lpwstr>
  </property>
</Properties>
</file>